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A:\imarticus\ALL PROJECTS\"/>
    </mc:Choice>
  </mc:AlternateContent>
  <xr:revisionPtr revIDLastSave="0" documentId="13_ncr:1_{265C29BE-AC9B-45EA-AADB-B4902358496B}" xr6:coauthVersionLast="47" xr6:coauthVersionMax="47" xr10:uidLastSave="{00000000-0000-0000-0000-000000000000}"/>
  <bookViews>
    <workbookView xWindow="5772" yWindow="372" windowWidth="11712" windowHeight="12336" activeTab="1" xr2:uid="{00000000-000D-0000-FFFF-FFFF00000000}"/>
  </bookViews>
  <sheets>
    <sheet name="data" sheetId="1" r:id="rId1"/>
    <sheet name="Project_Questions" sheetId="4" r:id="rId2"/>
    <sheet name="KPISANSWER" sheetId="5" r:id="rId3"/>
    <sheet name="VISUAL QUES ANSWER" sheetId="8" r:id="rId4"/>
    <sheet name="DASHBOARD" sheetId="10" r:id="rId5"/>
  </sheets>
  <definedNames>
    <definedName name="_xlnm._FilterDatabase" localSheetId="0" hidden="1">data!$A$1:$AD$501</definedName>
    <definedName name="cop">#REF!</definedName>
    <definedName name="Slicer_City">#N/A</definedName>
    <definedName name="Slicer_Gender">#N/A</definedName>
    <definedName name="Slicer_IslateDelivery">#N/A</definedName>
    <definedName name="Slicer_Months__Order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10" l="1"/>
  <c r="V6" i="10"/>
  <c r="Q6" i="10"/>
  <c r="M6" i="10"/>
  <c r="I6" i="10"/>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2" i="1"/>
  <c r="B21" i="5"/>
  <c r="H9" i="5"/>
  <c r="H6" i="5"/>
  <c r="B30" i="5"/>
  <c r="B24" i="5"/>
  <c r="H14" i="5"/>
  <c r="H3" i="5"/>
  <c r="B17" i="5"/>
  <c r="B3" i="5"/>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2" i="1"/>
  <c r="G9" i="5"/>
  <c r="G14" i="5"/>
  <c r="G6" i="5"/>
  <c r="A27" i="5"/>
  <c r="A21" i="5"/>
  <c r="G3" i="5"/>
  <c r="A17" i="5"/>
  <c r="A3" i="5"/>
  <c r="A30" i="5"/>
  <c r="A24" i="5"/>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2" i="1"/>
  <c r="B27" i="5" l="1"/>
</calcChain>
</file>

<file path=xl/sharedStrings.xml><?xml version="1.0" encoding="utf-8"?>
<sst xmlns="http://schemas.openxmlformats.org/spreadsheetml/2006/main" count="6254" uniqueCount="2142">
  <si>
    <t>Customer_ID</t>
  </si>
  <si>
    <t>First_Name</t>
  </si>
  <si>
    <t>Last_Name</t>
  </si>
  <si>
    <t>Age</t>
  </si>
  <si>
    <t>Gender</t>
  </si>
  <si>
    <t>City</t>
  </si>
  <si>
    <t>Email</t>
  </si>
  <si>
    <t>Address</t>
  </si>
  <si>
    <t>Order_ID</t>
  </si>
  <si>
    <t>Order_Date</t>
  </si>
  <si>
    <t>Order_Time</t>
  </si>
  <si>
    <t>Product_ID</t>
  </si>
  <si>
    <t>Price</t>
  </si>
  <si>
    <t>Quantity</t>
  </si>
  <si>
    <t>Coupon_Code</t>
  </si>
  <si>
    <t>Delivery_Charge</t>
  </si>
  <si>
    <t>Delivery_Date</t>
  </si>
  <si>
    <t>Delivery_Time</t>
  </si>
  <si>
    <t>CID186</t>
  </si>
  <si>
    <t>CID150</t>
  </si>
  <si>
    <t>CID117</t>
  </si>
  <si>
    <t>CID116</t>
  </si>
  <si>
    <t>CID149</t>
  </si>
  <si>
    <t>CID159</t>
  </si>
  <si>
    <t>CID115</t>
  </si>
  <si>
    <t>CID198</t>
  </si>
  <si>
    <t>CID152</t>
  </si>
  <si>
    <t>CID130</t>
  </si>
  <si>
    <t>CID101</t>
  </si>
  <si>
    <t>CID105</t>
  </si>
  <si>
    <t>CID172</t>
  </si>
  <si>
    <t>CID178</t>
  </si>
  <si>
    <t>CID176</t>
  </si>
  <si>
    <t>CID148</t>
  </si>
  <si>
    <t>CID137</t>
  </si>
  <si>
    <t>CID147</t>
  </si>
  <si>
    <t>CID128</t>
  </si>
  <si>
    <t>CID168</t>
  </si>
  <si>
    <t>CID179</t>
  </si>
  <si>
    <t>CID163</t>
  </si>
  <si>
    <t>CID182</t>
  </si>
  <si>
    <t>CID158</t>
  </si>
  <si>
    <t>CID103</t>
  </si>
  <si>
    <t>CID102</t>
  </si>
  <si>
    <t>CID193</t>
  </si>
  <si>
    <t>CID166</t>
  </si>
  <si>
    <t>CID191</t>
  </si>
  <si>
    <t>CID109</t>
  </si>
  <si>
    <t>CID161</t>
  </si>
  <si>
    <t>CID190</t>
  </si>
  <si>
    <t>CID120</t>
  </si>
  <si>
    <t>CID155</t>
  </si>
  <si>
    <t>CID121</t>
  </si>
  <si>
    <t>CID133</t>
  </si>
  <si>
    <t>CID169</t>
  </si>
  <si>
    <t>CID132</t>
  </si>
  <si>
    <t>CID180</t>
  </si>
  <si>
    <t>CID184</t>
  </si>
  <si>
    <t>CID187</t>
  </si>
  <si>
    <t>CID181</t>
  </si>
  <si>
    <t>CID135</t>
  </si>
  <si>
    <t>CID165</t>
  </si>
  <si>
    <t>CID126</t>
  </si>
  <si>
    <t>CID114</t>
  </si>
  <si>
    <t>CID129</t>
  </si>
  <si>
    <t>CID199</t>
  </si>
  <si>
    <t>CID134</t>
  </si>
  <si>
    <t>CID136</t>
  </si>
  <si>
    <t>CID153</t>
  </si>
  <si>
    <t>CID100</t>
  </si>
  <si>
    <t>CID195</t>
  </si>
  <si>
    <t>CID175</t>
  </si>
  <si>
    <t>CID164</t>
  </si>
  <si>
    <t>CID192</t>
  </si>
  <si>
    <t>CID174</t>
  </si>
  <si>
    <t>CID112</t>
  </si>
  <si>
    <t>CID145</t>
  </si>
  <si>
    <t>CID144</t>
  </si>
  <si>
    <t>CID125</t>
  </si>
  <si>
    <t>CID139</t>
  </si>
  <si>
    <t>CID118</t>
  </si>
  <si>
    <t>CID140</t>
  </si>
  <si>
    <t>CID123</t>
  </si>
  <si>
    <t>CID183</t>
  </si>
  <si>
    <t>CID143</t>
  </si>
  <si>
    <t>CID111</t>
  </si>
  <si>
    <t>CID156</t>
  </si>
  <si>
    <t>CID170</t>
  </si>
  <si>
    <t>CID107</t>
  </si>
  <si>
    <t>CID185</t>
  </si>
  <si>
    <t>CID162</t>
  </si>
  <si>
    <t>CID194</t>
  </si>
  <si>
    <t>CID188</t>
  </si>
  <si>
    <t>CID167</t>
  </si>
  <si>
    <t>CID124</t>
  </si>
  <si>
    <t>CID160</t>
  </si>
  <si>
    <t>CID171</t>
  </si>
  <si>
    <t>CID173</t>
  </si>
  <si>
    <t>CID110</t>
  </si>
  <si>
    <t>CID119</t>
  </si>
  <si>
    <t>CID108</t>
  </si>
  <si>
    <t>CID196</t>
  </si>
  <si>
    <t>CID127</t>
  </si>
  <si>
    <t>CID104</t>
  </si>
  <si>
    <t>CID189</t>
  </si>
  <si>
    <t>CID138</t>
  </si>
  <si>
    <t>CID142</t>
  </si>
  <si>
    <t>CID154</t>
  </si>
  <si>
    <t>CID141</t>
  </si>
  <si>
    <t>CID122</t>
  </si>
  <si>
    <t>CID113</t>
  </si>
  <si>
    <t>CID131</t>
  </si>
  <si>
    <t>CID157</t>
  </si>
  <si>
    <t>CID151</t>
  </si>
  <si>
    <t>CID177</t>
  </si>
  <si>
    <t>CID106</t>
  </si>
  <si>
    <t>CID197</t>
  </si>
  <si>
    <t>CID146</t>
  </si>
  <si>
    <t>Anne</t>
  </si>
  <si>
    <t>Anthony</t>
  </si>
  <si>
    <t>Hannah</t>
  </si>
  <si>
    <t>John</t>
  </si>
  <si>
    <t>Angela</t>
  </si>
  <si>
    <t>Christine</t>
  </si>
  <si>
    <t>Karl</t>
  </si>
  <si>
    <t>David</t>
  </si>
  <si>
    <t>Marcus</t>
  </si>
  <si>
    <t>Debra</t>
  </si>
  <si>
    <t>Bobby</t>
  </si>
  <si>
    <t>Joseph</t>
  </si>
  <si>
    <t>Kara</t>
  </si>
  <si>
    <t>Amy</t>
  </si>
  <si>
    <t>Joshua</t>
  </si>
  <si>
    <t>Erin</t>
  </si>
  <si>
    <t>Gina</t>
  </si>
  <si>
    <t>Mallory</t>
  </si>
  <si>
    <t>Traci</t>
  </si>
  <si>
    <t>Deborah</t>
  </si>
  <si>
    <t>Christian</t>
  </si>
  <si>
    <t>Mark</t>
  </si>
  <si>
    <t>Jason</t>
  </si>
  <si>
    <t>Jessica</t>
  </si>
  <si>
    <t>Ashley</t>
  </si>
  <si>
    <t>Taylor</t>
  </si>
  <si>
    <t>Lauren</t>
  </si>
  <si>
    <t>Rachael</t>
  </si>
  <si>
    <t>Heather</t>
  </si>
  <si>
    <t>Valerie</t>
  </si>
  <si>
    <t>Jenny</t>
  </si>
  <si>
    <t>Courtney</t>
  </si>
  <si>
    <t>Julie</t>
  </si>
  <si>
    <t>Donna</t>
  </si>
  <si>
    <t>Robert</t>
  </si>
  <si>
    <t>Timothy</t>
  </si>
  <si>
    <t>Thomas</t>
  </si>
  <si>
    <t>Aaron</t>
  </si>
  <si>
    <t>Alexandra</t>
  </si>
  <si>
    <t>Amanda</t>
  </si>
  <si>
    <t>Mary</t>
  </si>
  <si>
    <t>Rebecca</t>
  </si>
  <si>
    <t>Lori</t>
  </si>
  <si>
    <t>Brittany</t>
  </si>
  <si>
    <t>Mitchell</t>
  </si>
  <si>
    <t>Sharon</t>
  </si>
  <si>
    <t>Sarah</t>
  </si>
  <si>
    <t>Katherine</t>
  </si>
  <si>
    <t>Brandon</t>
  </si>
  <si>
    <t>Jodi</t>
  </si>
  <si>
    <t>Lindsey</t>
  </si>
  <si>
    <t>William</t>
  </si>
  <si>
    <t>Kelli</t>
  </si>
  <si>
    <t>Beth</t>
  </si>
  <si>
    <t>Christy</t>
  </si>
  <si>
    <t>Troy</t>
  </si>
  <si>
    <t>Kim</t>
  </si>
  <si>
    <t>Brian</t>
  </si>
  <si>
    <t>Gregory</t>
  </si>
  <si>
    <t>Bruce</t>
  </si>
  <si>
    <t>Lisa</t>
  </si>
  <si>
    <t>Melissa</t>
  </si>
  <si>
    <t>Barbara</t>
  </si>
  <si>
    <t>Kristina</t>
  </si>
  <si>
    <t>Diana</t>
  </si>
  <si>
    <t>Edward</t>
  </si>
  <si>
    <t>James</t>
  </si>
  <si>
    <t>Leslie</t>
  </si>
  <si>
    <t>Susan</t>
  </si>
  <si>
    <t>Katie</t>
  </si>
  <si>
    <t>Teresa</t>
  </si>
  <si>
    <t>Regina</t>
  </si>
  <si>
    <t>Natasha</t>
  </si>
  <si>
    <t>Gary</t>
  </si>
  <si>
    <t>Mike</t>
  </si>
  <si>
    <t>Megan</t>
  </si>
  <si>
    <t>Jared</t>
  </si>
  <si>
    <t>Brendan</t>
  </si>
  <si>
    <t>Veronica</t>
  </si>
  <si>
    <t>Rachel</t>
  </si>
  <si>
    <t>Scott</t>
  </si>
  <si>
    <t>Janice</t>
  </si>
  <si>
    <t>Kelly</t>
  </si>
  <si>
    <t>Oconnell</t>
  </si>
  <si>
    <t>Gutierrez</t>
  </si>
  <si>
    <t>Ramirez</t>
  </si>
  <si>
    <t>Horne</t>
  </si>
  <si>
    <t>West</t>
  </si>
  <si>
    <t>Gallagher</t>
  </si>
  <si>
    <t>Delacruz</t>
  </si>
  <si>
    <t>Valenzuela</t>
  </si>
  <si>
    <t>Rodriguez</t>
  </si>
  <si>
    <t>Forbes</t>
  </si>
  <si>
    <t>Stewart</t>
  </si>
  <si>
    <t>Brennan</t>
  </si>
  <si>
    <t>Reid</t>
  </si>
  <si>
    <t>Campbell</t>
  </si>
  <si>
    <t>Miller</t>
  </si>
  <si>
    <t>Moreno</t>
  </si>
  <si>
    <t>Jones</t>
  </si>
  <si>
    <t>Bates</t>
  </si>
  <si>
    <t>Clayton</t>
  </si>
  <si>
    <t>Henderson</t>
  </si>
  <si>
    <t>Herrera</t>
  </si>
  <si>
    <t>Evans</t>
  </si>
  <si>
    <t>Nguyen</t>
  </si>
  <si>
    <t>Ruiz</t>
  </si>
  <si>
    <t>Rose</t>
  </si>
  <si>
    <t>Davis</t>
  </si>
  <si>
    <t>Long</t>
  </si>
  <si>
    <t>Robinson</t>
  </si>
  <si>
    <t>Schneider</t>
  </si>
  <si>
    <t>Carr</t>
  </si>
  <si>
    <t>Estrada</t>
  </si>
  <si>
    <t>Parker</t>
  </si>
  <si>
    <t>Meyer</t>
  </si>
  <si>
    <t>Oneill</t>
  </si>
  <si>
    <t>Castillo</t>
  </si>
  <si>
    <t>Hicks</t>
  </si>
  <si>
    <t>Andersen</t>
  </si>
  <si>
    <t>Thompson</t>
  </si>
  <si>
    <t>Lopez</t>
  </si>
  <si>
    <t>Smith</t>
  </si>
  <si>
    <t>Howard</t>
  </si>
  <si>
    <t>Knight</t>
  </si>
  <si>
    <t>Rogers</t>
  </si>
  <si>
    <t>Crane</t>
  </si>
  <si>
    <t>Figueroa</t>
  </si>
  <si>
    <t>Cook</t>
  </si>
  <si>
    <t>Hayes</t>
  </si>
  <si>
    <t>Butler</t>
  </si>
  <si>
    <t>Weber</t>
  </si>
  <si>
    <t>Lane</t>
  </si>
  <si>
    <t>Cruz</t>
  </si>
  <si>
    <t>Whitney</t>
  </si>
  <si>
    <t>Byrd</t>
  </si>
  <si>
    <t>Romero</t>
  </si>
  <si>
    <t>Mann</t>
  </si>
  <si>
    <t>Gaines</t>
  </si>
  <si>
    <t>Ellis</t>
  </si>
  <si>
    <t>Mason</t>
  </si>
  <si>
    <t>Chang</t>
  </si>
  <si>
    <t>Gomez</t>
  </si>
  <si>
    <t>Blevins</t>
  </si>
  <si>
    <t>Kennedy</t>
  </si>
  <si>
    <t>Lee</t>
  </si>
  <si>
    <t>Allen</t>
  </si>
  <si>
    <t>Levy</t>
  </si>
  <si>
    <t>Summers</t>
  </si>
  <si>
    <t>Fuller</t>
  </si>
  <si>
    <t>Haynes</t>
  </si>
  <si>
    <t>French</t>
  </si>
  <si>
    <t>Black</t>
  </si>
  <si>
    <t>Brown</t>
  </si>
  <si>
    <t>Montgomery</t>
  </si>
  <si>
    <t>Griffin</t>
  </si>
  <si>
    <t>Harvey</t>
  </si>
  <si>
    <t>Hawkins</t>
  </si>
  <si>
    <t>Michael</t>
  </si>
  <si>
    <t>Huff</t>
  </si>
  <si>
    <t>Aguilar</t>
  </si>
  <si>
    <t>Carter</t>
  </si>
  <si>
    <t>Owens</t>
  </si>
  <si>
    <t>Casey</t>
  </si>
  <si>
    <t>Hunt</t>
  </si>
  <si>
    <t>Horn</t>
  </si>
  <si>
    <t>Benson</t>
  </si>
  <si>
    <t>Richmond</t>
  </si>
  <si>
    <t>Jacobs</t>
  </si>
  <si>
    <t>Gordon</t>
  </si>
  <si>
    <t>Male</t>
  </si>
  <si>
    <t>Female</t>
  </si>
  <si>
    <t>Other</t>
  </si>
  <si>
    <t>Phoenix</t>
  </si>
  <si>
    <t>Houston</t>
  </si>
  <si>
    <t>Chicago</t>
  </si>
  <si>
    <t>Miami</t>
  </si>
  <si>
    <t>New York</t>
  </si>
  <si>
    <t>Los Angeles</t>
  </si>
  <si>
    <t>San Francisco</t>
  </si>
  <si>
    <t>Dallas</t>
  </si>
  <si>
    <t>anne.oconnell@outlook.com</t>
  </si>
  <si>
    <t>anthony.thomas@rediffmail.com</t>
  </si>
  <si>
    <t>hannah.gutierrez@yahoo.com</t>
  </si>
  <si>
    <t>john.ramirez@outlook.com</t>
  </si>
  <si>
    <t>angela.horne@outlook.com</t>
  </si>
  <si>
    <t>christine.west@gmail.com</t>
  </si>
  <si>
    <t>karl.gallagher@rediffmail.com</t>
  </si>
  <si>
    <t>david.delacruz@rediffmail.com</t>
  </si>
  <si>
    <t>marcus.valenzuela@yahoo.com</t>
  </si>
  <si>
    <t>debra.rodriguez@rediffmail.com</t>
  </si>
  <si>
    <t>bobby.forbes@gmail.com</t>
  </si>
  <si>
    <t>joseph.stewart@yahoo.com</t>
  </si>
  <si>
    <t>kara.brennan@outlook.com</t>
  </si>
  <si>
    <t>amy.reid@rediffmail.com</t>
  </si>
  <si>
    <t>joshua.campbell@gmail.com</t>
  </si>
  <si>
    <t>erin.miller@gmail.com</t>
  </si>
  <si>
    <t>gina.moreno@rediffmail.com</t>
  </si>
  <si>
    <t>mallory.mitchell@yahoo.com</t>
  </si>
  <si>
    <t>traci.jones@yahoo.com</t>
  </si>
  <si>
    <t>deborah.bates@yahoo.com</t>
  </si>
  <si>
    <t>christian.clayton@yahoo.com</t>
  </si>
  <si>
    <t>mark.henderson@yahoo.com</t>
  </si>
  <si>
    <t>john.herrera@outlook.com</t>
  </si>
  <si>
    <t>angela.evans@outlook.com</t>
  </si>
  <si>
    <t>jason.nguyen@yahoo.com</t>
  </si>
  <si>
    <t>jessica.ruiz@rediffmail.com</t>
  </si>
  <si>
    <t>ashley.rose@gmail.com</t>
  </si>
  <si>
    <t>taylor.davis@yahoo.com</t>
  </si>
  <si>
    <t>lauren.long@gmail.com</t>
  </si>
  <si>
    <t>rachael.robinson@rediffmail.com</t>
  </si>
  <si>
    <t>heather.schneider@outlook.com</t>
  </si>
  <si>
    <t>valerie.carr@rediffmail.com</t>
  </si>
  <si>
    <t>jenny.estrada@yahoo.com</t>
  </si>
  <si>
    <t>courtney.parker@yahoo.com</t>
  </si>
  <si>
    <t>julie.meyer@yahoo.com</t>
  </si>
  <si>
    <t>donna.oneill@yahoo.com</t>
  </si>
  <si>
    <t>robert.castillo@gmail.com</t>
  </si>
  <si>
    <t>timothy.hicks@gmail.com</t>
  </si>
  <si>
    <t>thomas.andersen@yahoo.com</t>
  </si>
  <si>
    <t>aaron.thompson@gmail.com</t>
  </si>
  <si>
    <t>jason.lopez@outlook.com</t>
  </si>
  <si>
    <t>alexandra.smith@rediffmail.com</t>
  </si>
  <si>
    <t>amanda.howard@outlook.com</t>
  </si>
  <si>
    <t>mary.knight@yahoo.com</t>
  </si>
  <si>
    <t>marcus.rogers@outlook.com</t>
  </si>
  <si>
    <t>lauren.crane@yahoo.com</t>
  </si>
  <si>
    <t>rebecca.figueroa@outlook.com</t>
  </si>
  <si>
    <t>lori.cook@rediffmail.com</t>
  </si>
  <si>
    <t>debra.hayes@yahoo.com</t>
  </si>
  <si>
    <t>brittany.stewart@gmail.com</t>
  </si>
  <si>
    <t>mitchell.parker@yahoo.com</t>
  </si>
  <si>
    <t>sharon.thompson@yahoo.com</t>
  </si>
  <si>
    <t>sarah.butler@rediffmail.com</t>
  </si>
  <si>
    <t>katherine.weber@outlook.com</t>
  </si>
  <si>
    <t>lauren.lane@gmail.com</t>
  </si>
  <si>
    <t>brandon.cruz@gmail.com</t>
  </si>
  <si>
    <t>jodi.whitney@yahoo.com</t>
  </si>
  <si>
    <t>lindsey.byrd@rediffmail.com</t>
  </si>
  <si>
    <t>ashley.romero@yahoo.com</t>
  </si>
  <si>
    <t>william.mann@yahoo.com</t>
  </si>
  <si>
    <t>kelli.smith@rediffmail.com</t>
  </si>
  <si>
    <t>joseph.gaines@outlook.com</t>
  </si>
  <si>
    <t>amy.ellis@gmail.com</t>
  </si>
  <si>
    <t>beth.mason@outlook.com</t>
  </si>
  <si>
    <t>christy.chang@outlook.com</t>
  </si>
  <si>
    <t>troy.gomez@outlook.com</t>
  </si>
  <si>
    <t>kim.blevins@outlook.com</t>
  </si>
  <si>
    <t>brian.kennedy@outlook.com</t>
  </si>
  <si>
    <t>gregory.lee@rediffmail.com</t>
  </si>
  <si>
    <t>bruce.allen@rediffmail.com</t>
  </si>
  <si>
    <t>lisa.miller@gmail.com</t>
  </si>
  <si>
    <t>melissa.levy@rediffmail.com</t>
  </si>
  <si>
    <t>mark.summers@outlook.com</t>
  </si>
  <si>
    <t>barbara.fuller@rediffmail.com</t>
  </si>
  <si>
    <t>kristina.haynes@yahoo.com</t>
  </si>
  <si>
    <t>diana.french@outlook.com</t>
  </si>
  <si>
    <t>edward.black@gmail.com</t>
  </si>
  <si>
    <t>james.brown@yahoo.com</t>
  </si>
  <si>
    <t>leslie.montgomery@gmail.com</t>
  </si>
  <si>
    <t>susan.thompson@outlook.com</t>
  </si>
  <si>
    <t>katie.hicks@rediffmail.com</t>
  </si>
  <si>
    <t>amy.griffin@rediffmail.com</t>
  </si>
  <si>
    <t>teresa.harvey@gmail.com</t>
  </si>
  <si>
    <t>regina.hawkins@rediffmail.com</t>
  </si>
  <si>
    <t>natasha.michael@gmail.com</t>
  </si>
  <si>
    <t>gary.huff@gmail.com</t>
  </si>
  <si>
    <t>christine.aguilar@gmail.com</t>
  </si>
  <si>
    <t>mike.carter@rediffmail.com</t>
  </si>
  <si>
    <t>thomas.owens@outlook.com</t>
  </si>
  <si>
    <t>angela.casey@gmail.com</t>
  </si>
  <si>
    <t>megan.hunt@rediffmail.com</t>
  </si>
  <si>
    <t>jared.horn@outlook.com</t>
  </si>
  <si>
    <t>brendan.kelly@rediffmail.com</t>
  </si>
  <si>
    <t>veronica.lopez@gmail.com</t>
  </si>
  <si>
    <t>sarah.benson@outlook.com</t>
  </si>
  <si>
    <t>william.richmond@outlook.com</t>
  </si>
  <si>
    <t>rachel.lopez@outlook.com</t>
  </si>
  <si>
    <t>scott.jones@yahoo.com</t>
  </si>
  <si>
    <t>gary.jacobs@gmail.com</t>
  </si>
  <si>
    <t>janice.gordon@yahoo.com</t>
  </si>
  <si>
    <t>2850 Matthew Ford, North Yolandachester, FL 67488</t>
  </si>
  <si>
    <t>931 Christopher Ways Suite 833, North Michelle, IN 53484</t>
  </si>
  <si>
    <t>2420 David Manors, Jessicaland, CT 41698</t>
  </si>
  <si>
    <t>02797 Martin Landing, South Michelle, VT 98781</t>
  </si>
  <si>
    <t>USNV Mueller, FPO AP 54648</t>
  </si>
  <si>
    <t>Unit 1433 Box 0246, DPO AP 94952</t>
  </si>
  <si>
    <t>5016 Snow Mountains Apt. 063, New Seanport, WY 41492</t>
  </si>
  <si>
    <t>USNS Ray, FPO AE 20238</t>
  </si>
  <si>
    <t>694 Graham Prairie Apt. 887, Jimenezfurt, MI 33044</t>
  </si>
  <si>
    <t>Unit 5964 Box 0721, DPO AP 01840</t>
  </si>
  <si>
    <t>3079 John Parkway Suite 961, Port Kristaview, MT 91019</t>
  </si>
  <si>
    <t>4082 Wang Terrace Suite 040, Victorialand, ME 41532</t>
  </si>
  <si>
    <t>2174 Thomas Avenue, Maciasborough, NJ 41465</t>
  </si>
  <si>
    <t>6262 Simpson Village, North Danielle, RI 76074</t>
  </si>
  <si>
    <t>70426 Lindsey Overpass Apt. 030, Jessicafurt, AR 46269</t>
  </si>
  <si>
    <t>65972 Peterson Route, Port Andrewfurt, SD 32892</t>
  </si>
  <si>
    <t>USS Murray, FPO AP 66559</t>
  </si>
  <si>
    <t>710 Anthony Wall Suite 137, East Davidstad, NV 61494</t>
  </si>
  <si>
    <t>4016 Ryan Passage, Collinsside, PA 88777</t>
  </si>
  <si>
    <t>278 Kathy Estate, Saraville, OH 77292</t>
  </si>
  <si>
    <t>065 Madison Way, Smithstad, CT 68011</t>
  </si>
  <si>
    <t>90155 Hines Spring, North Theresafurt, ME 31920</t>
  </si>
  <si>
    <t>61263 Jacob Isle, Amandatown, TN 34321</t>
  </si>
  <si>
    <t>16031 David Mountain Suite 431, Susanborough, PA 01910</t>
  </si>
  <si>
    <t>7112 Travis Glens Suite 790, Crystalland, WV 38373</t>
  </si>
  <si>
    <t>02370 Laura Station Suite 309, Brandonville, DE 18875</t>
  </si>
  <si>
    <t>424 Nichols Curve Suite 177, Lake Brianview, TX 17289</t>
  </si>
  <si>
    <t>USCGC Simmons, FPO AA 60167</t>
  </si>
  <si>
    <t>258 Michael Brooks Suite 363, Arnoldview, PA 49438</t>
  </si>
  <si>
    <t>0889 Brady Points, Port Meganhaven, NM 26553</t>
  </si>
  <si>
    <t>57940 Susan Creek Apt. 541, Port Aliciamouth, OR 90221</t>
  </si>
  <si>
    <t>981 Emily Stream, South Brianna, CO 98063</t>
  </si>
  <si>
    <t>792 Carlos Islands, West David, CT 16522</t>
  </si>
  <si>
    <t>087 Jacqueline Rue Apt. 694, East Tasha, SC 04859</t>
  </si>
  <si>
    <t>17381 Smith Ramp Suite 398, Courtneyville, AL 17756</t>
  </si>
  <si>
    <t>464 Carolyn Crest Suite 738, Lake Isaiah, CA 66153</t>
  </si>
  <si>
    <t>7143 Brandon Skyway Suite 899, Tylerton, IA 21756</t>
  </si>
  <si>
    <t>140 Tracy Fields, Lake Cynthiaton, TX 57190</t>
  </si>
  <si>
    <t>480 Summers Lock Suite 819, Sarahborough, IA 59863</t>
  </si>
  <si>
    <t>PSC 0550, Box 2737, APO AE 75772</t>
  </si>
  <si>
    <t>934 Levine View, Brentport, NE 38210</t>
  </si>
  <si>
    <t>48611 Clark Village, West Anne, GA 92865</t>
  </si>
  <si>
    <t>56908 Sydney Park Suite 632, West Anthonyport, NC 15954</t>
  </si>
  <si>
    <t>907 Kimberly Hill, Murrayfort, NH 88384</t>
  </si>
  <si>
    <t>06912 Brown Pine Apt. 763, Teresamouth, HI 24377</t>
  </si>
  <si>
    <t>30313 Reyes Parkways Suite 392, Port Bradley, SC 24078</t>
  </si>
  <si>
    <t>3959 Bell Dale, North Jacob, LA 07934</t>
  </si>
  <si>
    <t>86837 Bell Meadows, North Jasonshire, UT 51354</t>
  </si>
  <si>
    <t>4601 Miller Lock, Williamsbury, IA 10943</t>
  </si>
  <si>
    <t>6250 David Loaf Suite 561, North Pamelaberg, WV 63652</t>
  </si>
  <si>
    <t>PSC 3316, Box 9303, APO AE 29513</t>
  </si>
  <si>
    <t>598 Jasmine Harbor, Turnerberg, SD 02371</t>
  </si>
  <si>
    <t>14131 Edwin Shore Apt. 190, Deniseberg, MD 90905</t>
  </si>
  <si>
    <t>04887 Kimberly Union Apt. 645, Port Laura, IL 97219</t>
  </si>
  <si>
    <t>56985 Sergio Extensions, Port Albert, CO 02898</t>
  </si>
  <si>
    <t>9296 Villanueva Branch, East Kevin, CO 93912</t>
  </si>
  <si>
    <t>72876 Lara Key Suite 383, Gutierrezton, OR 71683</t>
  </si>
  <si>
    <t>USCGC Harper, FPO AA 38349</t>
  </si>
  <si>
    <t>547 Kerry Expressway, Lake Amanda, AR 20321</t>
  </si>
  <si>
    <t>849 Tran Wells, New Lindsayville, WI 22669</t>
  </si>
  <si>
    <t>788 Kristina Lane, Montoyaside, VA 90756</t>
  </si>
  <si>
    <t>37549 Pope Isle Apt. 202, Tylerborough, MO 60042</t>
  </si>
  <si>
    <t>217 Scott Ville, Christophermouth, NH 83776</t>
  </si>
  <si>
    <t>58998 Sherry Haven, East Richard, FL 90775</t>
  </si>
  <si>
    <t>4647 Hannah Centers, Rhodesburgh, NH 89363</t>
  </si>
  <si>
    <t>7510 Jose Knolls, Candicechester, LA 62815</t>
  </si>
  <si>
    <t>089 Rice Shoal Suite 491, Juarezmouth, MI 88715</t>
  </si>
  <si>
    <t>25126 Nancy Fort Suite 568, Alexandrachester, AZ 44823</t>
  </si>
  <si>
    <t>619 Parker Turnpike Apt. 025, West Brucehaven, ID 48437</t>
  </si>
  <si>
    <t>2417 Brown Ford, West Timothyside, RI 45629</t>
  </si>
  <si>
    <t>89748 Campbell Drive, South Tannerland, WI 13143</t>
  </si>
  <si>
    <t>3303 Kennedy Springs Suite 830, East Amybury, MI 95595</t>
  </si>
  <si>
    <t>08413 Lynch Parkway, Calderonstad, NV 32697</t>
  </si>
  <si>
    <t>134 Mcintosh Unions Suite 574, Lake Laura, DE 96577</t>
  </si>
  <si>
    <t>18295 Thomas River, Kochville, NH 80868</t>
  </si>
  <si>
    <t>163 Jeffrey Drive, South Mary, NH 23999</t>
  </si>
  <si>
    <t>5879 Susan Via Apt. 886, Sandovalbury, WV 61449</t>
  </si>
  <si>
    <t>221 Frey Crossing Suite 192, South Taylorland, HI 72875</t>
  </si>
  <si>
    <t>135 Teresa Oval Apt. 825, East Katherineport, WY 13714</t>
  </si>
  <si>
    <t>47821 William Station, East Ashleymouth, FL 20562</t>
  </si>
  <si>
    <t>848 William Port, New Marilyn, SD 58000</t>
  </si>
  <si>
    <t>07350 Aaron Meadow Suite 138, Kiaraberg, AL 79545</t>
  </si>
  <si>
    <t>02669 Kirk Squares, Davisville, VA 51272</t>
  </si>
  <si>
    <t>096 Santos Neck Apt. 937, Benjaminmouth, FL 61454</t>
  </si>
  <si>
    <t>78992 Justin Estates Suite 226, Floresberg, NM 40797</t>
  </si>
  <si>
    <t>58608 Alexander Terrace, South Bryan, SC 85541</t>
  </si>
  <si>
    <t>3284 Martin Neck, Lopezville, NY 69154</t>
  </si>
  <si>
    <t>3971 Ortiz Fields, Lake Jackfort, IA 97132</t>
  </si>
  <si>
    <t>43920 Shaffer Valley Suite 531, South Jerry, MD 67120</t>
  </si>
  <si>
    <t>089 Farley Terrace, Thomashaven, MT 56607</t>
  </si>
  <si>
    <t>03765 Velazquez Knoll Suite 478, Richardshire, UT 17200</t>
  </si>
  <si>
    <t>43325 Barbara Tunnel, Port James, LA 16246</t>
  </si>
  <si>
    <t>688 Donald Oval Suite 089, Shepardport, CA 50844</t>
  </si>
  <si>
    <t>660 Karen Station Apt. 887, Allenside, ID 03170</t>
  </si>
  <si>
    <t>5399 Hayes Well, West Pennystad, IL 93798</t>
  </si>
  <si>
    <t>4021 Brown Orchard Apt. 026, Christinahaven, OK 18499</t>
  </si>
  <si>
    <t>90435 Bonnie Points Suite 886, Jenniferfurt, WV 20187</t>
  </si>
  <si>
    <t>086 Kristin Manor Apt. 829, Marissabury, CT 12152</t>
  </si>
  <si>
    <t>USNV Williams, FPO AP 23197</t>
  </si>
  <si>
    <t>5812 Evelyn Mountains Suite 845, Ortiztown, MN 86166</t>
  </si>
  <si>
    <t>OID2497</t>
  </si>
  <si>
    <t>OID7056</t>
  </si>
  <si>
    <t>OID2597</t>
  </si>
  <si>
    <t>OID1956</t>
  </si>
  <si>
    <t>OID2793</t>
  </si>
  <si>
    <t>OID1483</t>
  </si>
  <si>
    <t>OID7502</t>
  </si>
  <si>
    <t>OID4372</t>
  </si>
  <si>
    <t>OID3528</t>
  </si>
  <si>
    <t>OID9634</t>
  </si>
  <si>
    <t>OID3145</t>
  </si>
  <si>
    <t>OID3136</t>
  </si>
  <si>
    <t>OID6886</t>
  </si>
  <si>
    <t>OID3509</t>
  </si>
  <si>
    <t>OID3689</t>
  </si>
  <si>
    <t>OID1911</t>
  </si>
  <si>
    <t>OID6520</t>
  </si>
  <si>
    <t>OID6123</t>
  </si>
  <si>
    <t>OID1699</t>
  </si>
  <si>
    <t>OID3792</t>
  </si>
  <si>
    <t>OID7663</t>
  </si>
  <si>
    <t>OID7609</t>
  </si>
  <si>
    <t>OID8875</t>
  </si>
  <si>
    <t>OID4032</t>
  </si>
  <si>
    <t>OID9964</t>
  </si>
  <si>
    <t>OID2121</t>
  </si>
  <si>
    <t>OID8953</t>
  </si>
  <si>
    <t>OID8034</t>
  </si>
  <si>
    <t>OID2817</t>
  </si>
  <si>
    <t>OID4643</t>
  </si>
  <si>
    <t>OID4558</t>
  </si>
  <si>
    <t>OID8699</t>
  </si>
  <si>
    <t>OID5502</t>
  </si>
  <si>
    <t>OID6974</t>
  </si>
  <si>
    <t>OID2701</t>
  </si>
  <si>
    <t>OID4432</t>
  </si>
  <si>
    <t>OID3502</t>
  </si>
  <si>
    <t>OID4411</t>
  </si>
  <si>
    <t>OID6304</t>
  </si>
  <si>
    <t>OID5126</t>
  </si>
  <si>
    <t>OID8577</t>
  </si>
  <si>
    <t>OID7688</t>
  </si>
  <si>
    <t>OID4670</t>
  </si>
  <si>
    <t>OID3319</t>
  </si>
  <si>
    <t>OID6911</t>
  </si>
  <si>
    <t>OID8494</t>
  </si>
  <si>
    <t>OID6898</t>
  </si>
  <si>
    <t>OID7606</t>
  </si>
  <si>
    <t>OID6503</t>
  </si>
  <si>
    <t>OID3616</t>
  </si>
  <si>
    <t>OID2170</t>
  </si>
  <si>
    <t>OID9880</t>
  </si>
  <si>
    <t>OID8620</t>
  </si>
  <si>
    <t>OID4770</t>
  </si>
  <si>
    <t>OID6555</t>
  </si>
  <si>
    <t>OID2152</t>
  </si>
  <si>
    <t>OID2991</t>
  </si>
  <si>
    <t>OID8162</t>
  </si>
  <si>
    <t>OID8169</t>
  </si>
  <si>
    <t>OID5832</t>
  </si>
  <si>
    <t>OID7806</t>
  </si>
  <si>
    <t>OID4875</t>
  </si>
  <si>
    <t>OID4070</t>
  </si>
  <si>
    <t>OID7679</t>
  </si>
  <si>
    <t>OID3097</t>
  </si>
  <si>
    <t>OID8869</t>
  </si>
  <si>
    <t>OID2686</t>
  </si>
  <si>
    <t>OID1046</t>
  </si>
  <si>
    <t>OID1597</t>
  </si>
  <si>
    <t>OID1157</t>
  </si>
  <si>
    <t>OID7358</t>
  </si>
  <si>
    <t>OID7453</t>
  </si>
  <si>
    <t>OID1573</t>
  </si>
  <si>
    <t>OID3035</t>
  </si>
  <si>
    <t>OID4415</t>
  </si>
  <si>
    <t>OID6237</t>
  </si>
  <si>
    <t>OID1520</t>
  </si>
  <si>
    <t>OID2157</t>
  </si>
  <si>
    <t>OID6374</t>
  </si>
  <si>
    <t>OID8388</t>
  </si>
  <si>
    <t>OID5850</t>
  </si>
  <si>
    <t>OID8041</t>
  </si>
  <si>
    <t>OID5605</t>
  </si>
  <si>
    <t>OID7077</t>
  </si>
  <si>
    <t>OID5787</t>
  </si>
  <si>
    <t>OID3140</t>
  </si>
  <si>
    <t>OID6771</t>
  </si>
  <si>
    <t>OID8988</t>
  </si>
  <si>
    <t>OID9398</t>
  </si>
  <si>
    <t>OID9822</t>
  </si>
  <si>
    <t>OID1269</t>
  </si>
  <si>
    <t>OID9915</t>
  </si>
  <si>
    <t>OID3348</t>
  </si>
  <si>
    <t>OID8431</t>
  </si>
  <si>
    <t>OID6943</t>
  </si>
  <si>
    <t>OID6229</t>
  </si>
  <si>
    <t>OID6912</t>
  </si>
  <si>
    <t>OID5081</t>
  </si>
  <si>
    <t>OID5610</t>
  </si>
  <si>
    <t>OID7759</t>
  </si>
  <si>
    <t>OID4481</t>
  </si>
  <si>
    <t>OID6749</t>
  </si>
  <si>
    <t>OID8681</t>
  </si>
  <si>
    <t>OID5607</t>
  </si>
  <si>
    <t>OID5389</t>
  </si>
  <si>
    <t>OID9743</t>
  </si>
  <si>
    <t>OID7866</t>
  </si>
  <si>
    <t>OID1137</t>
  </si>
  <si>
    <t>OID4685</t>
  </si>
  <si>
    <t>OID9584</t>
  </si>
  <si>
    <t>OID1686</t>
  </si>
  <si>
    <t>OID5272</t>
  </si>
  <si>
    <t>OID7359</t>
  </si>
  <si>
    <t>OID2938</t>
  </si>
  <si>
    <t>OID2519</t>
  </si>
  <si>
    <t>OID1134</t>
  </si>
  <si>
    <t>OID9735</t>
  </si>
  <si>
    <t>OID9515</t>
  </si>
  <si>
    <t>OID6608</t>
  </si>
  <si>
    <t>OID2099</t>
  </si>
  <si>
    <t>OID4548</t>
  </si>
  <si>
    <t>OID5978</t>
  </si>
  <si>
    <t>OID3750</t>
  </si>
  <si>
    <t>OID5108</t>
  </si>
  <si>
    <t>OID4185</t>
  </si>
  <si>
    <t>OID1418</t>
  </si>
  <si>
    <t>OID1411</t>
  </si>
  <si>
    <t>OID8692</t>
  </si>
  <si>
    <t>OID4840</t>
  </si>
  <si>
    <t>OID1309</t>
  </si>
  <si>
    <t>OID2746</t>
  </si>
  <si>
    <t>OID9360</t>
  </si>
  <si>
    <t>OID6453</t>
  </si>
  <si>
    <t>OID9745</t>
  </si>
  <si>
    <t>OID4081</t>
  </si>
  <si>
    <t>OID3967</t>
  </si>
  <si>
    <t>OID9112</t>
  </si>
  <si>
    <t>OID8628</t>
  </si>
  <si>
    <t>OID5996</t>
  </si>
  <si>
    <t>OID5210</t>
  </si>
  <si>
    <t>OID1379</t>
  </si>
  <si>
    <t>OID6716</t>
  </si>
  <si>
    <t>OID9804</t>
  </si>
  <si>
    <t>OID9798</t>
  </si>
  <si>
    <t>OID4965</t>
  </si>
  <si>
    <t>OID3209</t>
  </si>
  <si>
    <t>OID6103</t>
  </si>
  <si>
    <t>OID4368</t>
  </si>
  <si>
    <t>OID1692</t>
  </si>
  <si>
    <t>OID4399</t>
  </si>
  <si>
    <t>OID3568</t>
  </si>
  <si>
    <t>OID3469</t>
  </si>
  <si>
    <t>OID6217</t>
  </si>
  <si>
    <t>OID1153</t>
  </si>
  <si>
    <t>OID7258</t>
  </si>
  <si>
    <t>OID8380</t>
  </si>
  <si>
    <t>OID9224</t>
  </si>
  <si>
    <t>OID4506</t>
  </si>
  <si>
    <t>OID7689</t>
  </si>
  <si>
    <t>OID8004</t>
  </si>
  <si>
    <t>OID1317</t>
  </si>
  <si>
    <t>OID2429</t>
  </si>
  <si>
    <t>OID1159</t>
  </si>
  <si>
    <t>OID4560</t>
  </si>
  <si>
    <t>OID6752</t>
  </si>
  <si>
    <t>OID7059</t>
  </si>
  <si>
    <t>OID1243</t>
  </si>
  <si>
    <t>OID5366</t>
  </si>
  <si>
    <t>OID1663</t>
  </si>
  <si>
    <t>OID7664</t>
  </si>
  <si>
    <t>OID4364</t>
  </si>
  <si>
    <t>OID9577</t>
  </si>
  <si>
    <t>OID5700</t>
  </si>
  <si>
    <t>OID1054</t>
  </si>
  <si>
    <t>OID6420</t>
  </si>
  <si>
    <t>OID2659</t>
  </si>
  <si>
    <t>OID5326</t>
  </si>
  <si>
    <t>OID4465</t>
  </si>
  <si>
    <t>OID9627</t>
  </si>
  <si>
    <t>OID9267</t>
  </si>
  <si>
    <t>OID5402</t>
  </si>
  <si>
    <t>OID8716</t>
  </si>
  <si>
    <t>OID4014</t>
  </si>
  <si>
    <t>OID8569</t>
  </si>
  <si>
    <t>OID6330</t>
  </si>
  <si>
    <t>OID6607</t>
  </si>
  <si>
    <t>OID4892</t>
  </si>
  <si>
    <t>OID9692</t>
  </si>
  <si>
    <t>OID4746</t>
  </si>
  <si>
    <t>OID6057</t>
  </si>
  <si>
    <t>OID3134</t>
  </si>
  <si>
    <t>OID7980</t>
  </si>
  <si>
    <t>OID7432</t>
  </si>
  <si>
    <t>OID9465</t>
  </si>
  <si>
    <t>OID9872</t>
  </si>
  <si>
    <t>OID6856</t>
  </si>
  <si>
    <t>OID1826</t>
  </si>
  <si>
    <t>OID3421</t>
  </si>
  <si>
    <t>OID6869</t>
  </si>
  <si>
    <t>OID6635</t>
  </si>
  <si>
    <t>OID8295</t>
  </si>
  <si>
    <t>OID4642</t>
  </si>
  <si>
    <t>OID7380</t>
  </si>
  <si>
    <t>OID1086</t>
  </si>
  <si>
    <t>OID6936</t>
  </si>
  <si>
    <t>OID5913</t>
  </si>
  <si>
    <t>OID8074</t>
  </si>
  <si>
    <t>OID1076</t>
  </si>
  <si>
    <t>OID8347</t>
  </si>
  <si>
    <t>OID6373</t>
  </si>
  <si>
    <t>OID5372</t>
  </si>
  <si>
    <t>OID8585</t>
  </si>
  <si>
    <t>OID3760</t>
  </si>
  <si>
    <t>OID9705</t>
  </si>
  <si>
    <t>OID7486</t>
  </si>
  <si>
    <t>OID7418</t>
  </si>
  <si>
    <t>OID2338</t>
  </si>
  <si>
    <t>OID8114</t>
  </si>
  <si>
    <t>OID9805</t>
  </si>
  <si>
    <t>OID7003</t>
  </si>
  <si>
    <t>OID3570</t>
  </si>
  <si>
    <t>OID4097</t>
  </si>
  <si>
    <t>OID7090</t>
  </si>
  <si>
    <t>OID8741</t>
  </si>
  <si>
    <t>OID6002</t>
  </si>
  <si>
    <t>OID1071</t>
  </si>
  <si>
    <t>OID6767</t>
  </si>
  <si>
    <t>OID4369</t>
  </si>
  <si>
    <t>OID5283</t>
  </si>
  <si>
    <t>OID2949</t>
  </si>
  <si>
    <t>OID7412</t>
  </si>
  <si>
    <t>OID6485</t>
  </si>
  <si>
    <t>OID6541</t>
  </si>
  <si>
    <t>OID3550</t>
  </si>
  <si>
    <t>OID7812</t>
  </si>
  <si>
    <t>OID4101</t>
  </si>
  <si>
    <t>OID2704</t>
  </si>
  <si>
    <t>OID3902</t>
  </si>
  <si>
    <t>OID6097</t>
  </si>
  <si>
    <t>OID2270</t>
  </si>
  <si>
    <t>OID4575</t>
  </si>
  <si>
    <t>OID5999</t>
  </si>
  <si>
    <t>OID9816</t>
  </si>
  <si>
    <t>OID1592</t>
  </si>
  <si>
    <t>OID9630</t>
  </si>
  <si>
    <t>OID4710</t>
  </si>
  <si>
    <t>OID8486</t>
  </si>
  <si>
    <t>OID1898</t>
  </si>
  <si>
    <t>OID1669</t>
  </si>
  <si>
    <t>OID3607</t>
  </si>
  <si>
    <t>OID6600</t>
  </si>
  <si>
    <t>OID3490</t>
  </si>
  <si>
    <t>OID5561</t>
  </si>
  <si>
    <t>OID8830</t>
  </si>
  <si>
    <t>OID9527</t>
  </si>
  <si>
    <t>OID1067</t>
  </si>
  <si>
    <t>OID2119</t>
  </si>
  <si>
    <t>OID5802</t>
  </si>
  <si>
    <t>OID4569</t>
  </si>
  <si>
    <t>OID1508</t>
  </si>
  <si>
    <t>OID4815</t>
  </si>
  <si>
    <t>OID8974</t>
  </si>
  <si>
    <t>OID6987</t>
  </si>
  <si>
    <t>OID5834</t>
  </si>
  <si>
    <t>OID5182</t>
  </si>
  <si>
    <t>OID9700</t>
  </si>
  <si>
    <t>OID1135</t>
  </si>
  <si>
    <t>OID9451</t>
  </si>
  <si>
    <t>OID4659</t>
  </si>
  <si>
    <t>OID7205</t>
  </si>
  <si>
    <t>OID6297</t>
  </si>
  <si>
    <t>OID3358</t>
  </si>
  <si>
    <t>OID4719</t>
  </si>
  <si>
    <t>OID1586</t>
  </si>
  <si>
    <t>OID2353</t>
  </si>
  <si>
    <t>OID5696</t>
  </si>
  <si>
    <t>OID7946</t>
  </si>
  <si>
    <t>OID4402</t>
  </si>
  <si>
    <t>OID5186</t>
  </si>
  <si>
    <t>OID7156</t>
  </si>
  <si>
    <t>OID3574</t>
  </si>
  <si>
    <t>OID1477</t>
  </si>
  <si>
    <t>OID4295</t>
  </si>
  <si>
    <t>OID7828</t>
  </si>
  <si>
    <t>OID7754</t>
  </si>
  <si>
    <t>OID8270</t>
  </si>
  <si>
    <t>OID8680</t>
  </si>
  <si>
    <t>OID7102</t>
  </si>
  <si>
    <t>OID7555</t>
  </si>
  <si>
    <t>OID3165</t>
  </si>
  <si>
    <t>OID9628</t>
  </si>
  <si>
    <t>OID9782</t>
  </si>
  <si>
    <t>OID4491</t>
  </si>
  <si>
    <t>OID4580</t>
  </si>
  <si>
    <t>OID7954</t>
  </si>
  <si>
    <t>OID6246</t>
  </si>
  <si>
    <t>OID3969</t>
  </si>
  <si>
    <t>OID2523</t>
  </si>
  <si>
    <t>OID3980</t>
  </si>
  <si>
    <t>OID7910</t>
  </si>
  <si>
    <t>OID9247</t>
  </si>
  <si>
    <t>OID1041</t>
  </si>
  <si>
    <t>OID1693</t>
  </si>
  <si>
    <t>OID8609</t>
  </si>
  <si>
    <t>OID2944</t>
  </si>
  <si>
    <t>OID5985</t>
  </si>
  <si>
    <t>OID7302</t>
  </si>
  <si>
    <t>OID6045</t>
  </si>
  <si>
    <t>OID1336</t>
  </si>
  <si>
    <t>OID7117</t>
  </si>
  <si>
    <t>OID3749</t>
  </si>
  <si>
    <t>OID5671</t>
  </si>
  <si>
    <t>OID8203</t>
  </si>
  <si>
    <t>OID1246</t>
  </si>
  <si>
    <t>OID4412</t>
  </si>
  <si>
    <t>OID3900</t>
  </si>
  <si>
    <t>OID9756</t>
  </si>
  <si>
    <t>OID8307</t>
  </si>
  <si>
    <t>OID5575</t>
  </si>
  <si>
    <t>OID3467</t>
  </si>
  <si>
    <t>OID6340</t>
  </si>
  <si>
    <t>OID2501</t>
  </si>
  <si>
    <t>OID6973</t>
  </si>
  <si>
    <t>OID6597</t>
  </si>
  <si>
    <t>OID5745</t>
  </si>
  <si>
    <t>OID4105</t>
  </si>
  <si>
    <t>OID8649</t>
  </si>
  <si>
    <t>OID2779</t>
  </si>
  <si>
    <t>OID1905</t>
  </si>
  <si>
    <t>OID4599</t>
  </si>
  <si>
    <t>OID4147</t>
  </si>
  <si>
    <t>OID3681</t>
  </si>
  <si>
    <t>OID5255</t>
  </si>
  <si>
    <t>OID9990</t>
  </si>
  <si>
    <t>OID1756</t>
  </si>
  <si>
    <t>OID1866</t>
  </si>
  <si>
    <t>OID2619</t>
  </si>
  <si>
    <t>OID2505</t>
  </si>
  <si>
    <t>OID7850</t>
  </si>
  <si>
    <t>OID1966</t>
  </si>
  <si>
    <t>OID3837</t>
  </si>
  <si>
    <t>OID9187</t>
  </si>
  <si>
    <t>OID1179</t>
  </si>
  <si>
    <t>OID7065</t>
  </si>
  <si>
    <t>OID6906</t>
  </si>
  <si>
    <t>OID7996</t>
  </si>
  <si>
    <t>OID1114</t>
  </si>
  <si>
    <t>OID7303</t>
  </si>
  <si>
    <t>OID2173</t>
  </si>
  <si>
    <t>OID9693</t>
  </si>
  <si>
    <t>OID9748</t>
  </si>
  <si>
    <t>OID6469</t>
  </si>
  <si>
    <t>OID1013</t>
  </si>
  <si>
    <t>OID1219</t>
  </si>
  <si>
    <t>OID9988</t>
  </si>
  <si>
    <t>OID6264</t>
  </si>
  <si>
    <t>OID7329</t>
  </si>
  <si>
    <t>OID2873</t>
  </si>
  <si>
    <t>OID6775</t>
  </si>
  <si>
    <t>OID4169</t>
  </si>
  <si>
    <t>OID6945</t>
  </si>
  <si>
    <t>OID6794</t>
  </si>
  <si>
    <t>OID2412</t>
  </si>
  <si>
    <t>OID7443</t>
  </si>
  <si>
    <t>OID8860</t>
  </si>
  <si>
    <t>OID9035</t>
  </si>
  <si>
    <t>OID7382</t>
  </si>
  <si>
    <t>OID7593</t>
  </si>
  <si>
    <t>OID9980</t>
  </si>
  <si>
    <t>OID2440</t>
  </si>
  <si>
    <t>OID7256</t>
  </si>
  <si>
    <t>OID6854</t>
  </si>
  <si>
    <t>OID9600</t>
  </si>
  <si>
    <t>OID3186</t>
  </si>
  <si>
    <t>OID1420</t>
  </si>
  <si>
    <t>OID4436</t>
  </si>
  <si>
    <t>OID8542</t>
  </si>
  <si>
    <t>OID4538</t>
  </si>
  <si>
    <t>OID8225</t>
  </si>
  <si>
    <t>OID5130</t>
  </si>
  <si>
    <t>OID9222</t>
  </si>
  <si>
    <t>OID3523</t>
  </si>
  <si>
    <t>OID3834</t>
  </si>
  <si>
    <t>OID9975</t>
  </si>
  <si>
    <t>OID6893</t>
  </si>
  <si>
    <t>OID8192</t>
  </si>
  <si>
    <t>OID7904</t>
  </si>
  <si>
    <t>OID6504</t>
  </si>
  <si>
    <t>OID7409</t>
  </si>
  <si>
    <t>OID8708</t>
  </si>
  <si>
    <t>OID9123</t>
  </si>
  <si>
    <t>OID9178</t>
  </si>
  <si>
    <t>OID2529</t>
  </si>
  <si>
    <t>OID3125</t>
  </si>
  <si>
    <t>OID4011</t>
  </si>
  <si>
    <t>OID8575</t>
  </si>
  <si>
    <t>OID7667</t>
  </si>
  <si>
    <t>OID8913</t>
  </si>
  <si>
    <t>OID1833</t>
  </si>
  <si>
    <t>OID5190</t>
  </si>
  <si>
    <t>OID9808</t>
  </si>
  <si>
    <t>OID8104</t>
  </si>
  <si>
    <t>OID2571</t>
  </si>
  <si>
    <t>OID1869</t>
  </si>
  <si>
    <t>OID5598</t>
  </si>
  <si>
    <t>OID7417</t>
  </si>
  <si>
    <t>OID6410</t>
  </si>
  <si>
    <t>OID7287</t>
  </si>
  <si>
    <t>OID3637</t>
  </si>
  <si>
    <t>OID2097</t>
  </si>
  <si>
    <t>OID3388</t>
  </si>
  <si>
    <t>OID9324</t>
  </si>
  <si>
    <t>OID3556</t>
  </si>
  <si>
    <t>OID9404</t>
  </si>
  <si>
    <t>OID4552</t>
  </si>
  <si>
    <t>OID7008</t>
  </si>
  <si>
    <t>OID4240</t>
  </si>
  <si>
    <t>OID3727</t>
  </si>
  <si>
    <t>OID8955</t>
  </si>
  <si>
    <t>OID1744</t>
  </si>
  <si>
    <t>OID5831</t>
  </si>
  <si>
    <t>OID2842</t>
  </si>
  <si>
    <t>OID1661</t>
  </si>
  <si>
    <t>OID4514</t>
  </si>
  <si>
    <t>OID3981</t>
  </si>
  <si>
    <t>OID6634</t>
  </si>
  <si>
    <t>OID9069</t>
  </si>
  <si>
    <t>OID6802</t>
  </si>
  <si>
    <t>OID4442</t>
  </si>
  <si>
    <t>OID4995</t>
  </si>
  <si>
    <t>OID7650</t>
  </si>
  <si>
    <t>OID5555</t>
  </si>
  <si>
    <t>OID1769</t>
  </si>
  <si>
    <t>OID2189</t>
  </si>
  <si>
    <t>OID7454</t>
  </si>
  <si>
    <t>OID4219</t>
  </si>
  <si>
    <t>OID1694</t>
  </si>
  <si>
    <t>OID7495</t>
  </si>
  <si>
    <t>OID1080</t>
  </si>
  <si>
    <t>OID4539</t>
  </si>
  <si>
    <t>OID8093</t>
  </si>
  <si>
    <t>OID1707</t>
  </si>
  <si>
    <t>OID5703</t>
  </si>
  <si>
    <t>OID7457</t>
  </si>
  <si>
    <t>OID4784</t>
  </si>
  <si>
    <t>OID1726</t>
  </si>
  <si>
    <t>OID1073</t>
  </si>
  <si>
    <t>OID5883</t>
  </si>
  <si>
    <t>OID1025</t>
  </si>
  <si>
    <t>OID8826</t>
  </si>
  <si>
    <t>OID6254</t>
  </si>
  <si>
    <t>OID7518</t>
  </si>
  <si>
    <t>OID1706</t>
  </si>
  <si>
    <t>OID8288</t>
  </si>
  <si>
    <t>OID5229</t>
  </si>
  <si>
    <t>OID2595</t>
  </si>
  <si>
    <t>OID9478</t>
  </si>
  <si>
    <t>OID1169</t>
  </si>
  <si>
    <t>OID4932</t>
  </si>
  <si>
    <t>OID2383</t>
  </si>
  <si>
    <t>OID3361</t>
  </si>
  <si>
    <t>OID4837</t>
  </si>
  <si>
    <t>OID6975</t>
  </si>
  <si>
    <t>OID6436</t>
  </si>
  <si>
    <t>OID3921</t>
  </si>
  <si>
    <t>OID4056</t>
  </si>
  <si>
    <t>OID4907</t>
  </si>
  <si>
    <t>OID9684</t>
  </si>
  <si>
    <t>OID2044</t>
  </si>
  <si>
    <t>OID5367</t>
  </si>
  <si>
    <t>OID9374</t>
  </si>
  <si>
    <t>OID2767</t>
  </si>
  <si>
    <t>OID8981</t>
  </si>
  <si>
    <t>OID2246</t>
  </si>
  <si>
    <t>OID1779</t>
  </si>
  <si>
    <t>OID2005</t>
  </si>
  <si>
    <t>OID9578</t>
  </si>
  <si>
    <t>OID6319</t>
  </si>
  <si>
    <t>OID9461</t>
  </si>
  <si>
    <t>OID4522</t>
  </si>
  <si>
    <t>OID9862</t>
  </si>
  <si>
    <t>OID6361</t>
  </si>
  <si>
    <t>OID7238</t>
  </si>
  <si>
    <t>OID8446</t>
  </si>
  <si>
    <t>OID9459</t>
  </si>
  <si>
    <t>OID6433</t>
  </si>
  <si>
    <t>OID3128</t>
  </si>
  <si>
    <t>OID8972</t>
  </si>
  <si>
    <t>OID5970</t>
  </si>
  <si>
    <t>OID3491</t>
  </si>
  <si>
    <t>OID6651</t>
  </si>
  <si>
    <t>OID2861</t>
  </si>
  <si>
    <t>OID3302</t>
  </si>
  <si>
    <t>OID9922</t>
  </si>
  <si>
    <t>OID4613</t>
  </si>
  <si>
    <t>OID7483</t>
  </si>
  <si>
    <t>OID9257</t>
  </si>
  <si>
    <t>OID2941</t>
  </si>
  <si>
    <t>OID7475</t>
  </si>
  <si>
    <t>OID6847</t>
  </si>
  <si>
    <t>18:16:33</t>
  </si>
  <si>
    <t>01:46:33</t>
  </si>
  <si>
    <t>14:11:09</t>
  </si>
  <si>
    <t>15:34:34</t>
  </si>
  <si>
    <t>03:23:21</t>
  </si>
  <si>
    <t>16:55:06</t>
  </si>
  <si>
    <t>07:31:36</t>
  </si>
  <si>
    <t>19:27:45</t>
  </si>
  <si>
    <t>12:07:00</t>
  </si>
  <si>
    <t>13:46:47</t>
  </si>
  <si>
    <t>17:40:16</t>
  </si>
  <si>
    <t>15:09:49</t>
  </si>
  <si>
    <t>22:42:51</t>
  </si>
  <si>
    <t>14:52:54</t>
  </si>
  <si>
    <t>01:19:56</t>
  </si>
  <si>
    <t>04:13:27</t>
  </si>
  <si>
    <t>23:53:21</t>
  </si>
  <si>
    <t>19:16:28</t>
  </si>
  <si>
    <t>11:48:17</t>
  </si>
  <si>
    <t>06:34:00</t>
  </si>
  <si>
    <t>04:06:55</t>
  </si>
  <si>
    <t>10:38:12</t>
  </si>
  <si>
    <t>20:47:13</t>
  </si>
  <si>
    <t>08:09:52</t>
  </si>
  <si>
    <t>19:13:06</t>
  </si>
  <si>
    <t>06:04:50</t>
  </si>
  <si>
    <t>12:19:34</t>
  </si>
  <si>
    <t>08:30:48</t>
  </si>
  <si>
    <t>12:22:52</t>
  </si>
  <si>
    <t>00:40:20</t>
  </si>
  <si>
    <t>21:19:14</t>
  </si>
  <si>
    <t>02:22:40</t>
  </si>
  <si>
    <t>13:50:14</t>
  </si>
  <si>
    <t>01:48:02</t>
  </si>
  <si>
    <t>14:37:48</t>
  </si>
  <si>
    <t>05:01:37</t>
  </si>
  <si>
    <t>12:35:46</t>
  </si>
  <si>
    <t>23:34:14</t>
  </si>
  <si>
    <t>04:09:40</t>
  </si>
  <si>
    <t>04:03:43</t>
  </si>
  <si>
    <t>00:47:19</t>
  </si>
  <si>
    <t>12:37:23</t>
  </si>
  <si>
    <t>17:27:33</t>
  </si>
  <si>
    <t>01:59:03</t>
  </si>
  <si>
    <t>21:46:52</t>
  </si>
  <si>
    <t>18:49:59</t>
  </si>
  <si>
    <t>22:08:17</t>
  </si>
  <si>
    <t>19:20:51</t>
  </si>
  <si>
    <t>00:57:17</t>
  </si>
  <si>
    <t>04:25:34</t>
  </si>
  <si>
    <t>07:52:23</t>
  </si>
  <si>
    <t>04:32:42</t>
  </si>
  <si>
    <t>01:45:28</t>
  </si>
  <si>
    <t>12:30:02</t>
  </si>
  <si>
    <t>10:55:08</t>
  </si>
  <si>
    <t>14:13:38</t>
  </si>
  <si>
    <t>02:09:48</t>
  </si>
  <si>
    <t>07:24:54</t>
  </si>
  <si>
    <t>09:43:27</t>
  </si>
  <si>
    <t>02:34:25</t>
  </si>
  <si>
    <t>02:46:19</t>
  </si>
  <si>
    <t>18:25:37</t>
  </si>
  <si>
    <t>19:18:19</t>
  </si>
  <si>
    <t>09:15:50</t>
  </si>
  <si>
    <t>02:51:35</t>
  </si>
  <si>
    <t>20:59:40</t>
  </si>
  <si>
    <t>17:00:22</t>
  </si>
  <si>
    <t>22:51:56</t>
  </si>
  <si>
    <t>05:27:44</t>
  </si>
  <si>
    <t>15:26:04</t>
  </si>
  <si>
    <t>19:49:32</t>
  </si>
  <si>
    <t>21:08:59</t>
  </si>
  <si>
    <t>05:40:38</t>
  </si>
  <si>
    <t>22:11:06</t>
  </si>
  <si>
    <t>10:33:35</t>
  </si>
  <si>
    <t>18:41:53</t>
  </si>
  <si>
    <t>04:27:04</t>
  </si>
  <si>
    <t>23:24:39</t>
  </si>
  <si>
    <t>18:54:33</t>
  </si>
  <si>
    <t>04:27:02</t>
  </si>
  <si>
    <t>19:40:45</t>
  </si>
  <si>
    <t>02:08:49</t>
  </si>
  <si>
    <t>01:05:15</t>
  </si>
  <si>
    <t>18:29:21</t>
  </si>
  <si>
    <t>15:22:10</t>
  </si>
  <si>
    <t>19:45:13</t>
  </si>
  <si>
    <t>01:09:33</t>
  </si>
  <si>
    <t>07:05:58</t>
  </si>
  <si>
    <t>07:48:29</t>
  </si>
  <si>
    <t>12:17:34</t>
  </si>
  <si>
    <t>19:02:37</t>
  </si>
  <si>
    <t>03:34:35</t>
  </si>
  <si>
    <t>17:05:21</t>
  </si>
  <si>
    <t>23:41:08</t>
  </si>
  <si>
    <t>04:48:30</t>
  </si>
  <si>
    <t>17:09:49</t>
  </si>
  <si>
    <t>07:51:16</t>
  </si>
  <si>
    <t>21:43:03</t>
  </si>
  <si>
    <t>07:53:58</t>
  </si>
  <si>
    <t>01:16:21</t>
  </si>
  <si>
    <t>02:43:38</t>
  </si>
  <si>
    <t>13:25:18</t>
  </si>
  <si>
    <t>18:32:14</t>
  </si>
  <si>
    <t>16:10:50</t>
  </si>
  <si>
    <t>14:52:37</t>
  </si>
  <si>
    <t>15:04:45</t>
  </si>
  <si>
    <t>18:15:56</t>
  </si>
  <si>
    <t>00:17:47</t>
  </si>
  <si>
    <t>01:46:15</t>
  </si>
  <si>
    <t>09:44:25</t>
  </si>
  <si>
    <t>20:32:03</t>
  </si>
  <si>
    <t>12:57:10</t>
  </si>
  <si>
    <t>14:16:13</t>
  </si>
  <si>
    <t>19:46:32</t>
  </si>
  <si>
    <t>19:28:31</t>
  </si>
  <si>
    <t>06:22:42</t>
  </si>
  <si>
    <t>20:03:28</t>
  </si>
  <si>
    <t>13:06:48</t>
  </si>
  <si>
    <t>10:28:03</t>
  </si>
  <si>
    <t>09:19:53</t>
  </si>
  <si>
    <t>14:00:52</t>
  </si>
  <si>
    <t>07:11:09</t>
  </si>
  <si>
    <t>04:44:04</t>
  </si>
  <si>
    <t>10:51:20</t>
  </si>
  <si>
    <t>17:17:44</t>
  </si>
  <si>
    <t>01:24:01</t>
  </si>
  <si>
    <t>11:34:01</t>
  </si>
  <si>
    <t>02:04:13</t>
  </si>
  <si>
    <t>12:38:37</t>
  </si>
  <si>
    <t>08:18:11</t>
  </si>
  <si>
    <t>10:44:36</t>
  </si>
  <si>
    <t>17:09:22</t>
  </si>
  <si>
    <t>07:07:24</t>
  </si>
  <si>
    <t>07:27:27</t>
  </si>
  <si>
    <t>00:30:57</t>
  </si>
  <si>
    <t>20:10:38</t>
  </si>
  <si>
    <t>14:57:06</t>
  </si>
  <si>
    <t>10:20:44</t>
  </si>
  <si>
    <t>14:09:23</t>
  </si>
  <si>
    <t>10:48:56</t>
  </si>
  <si>
    <t>11:50:19</t>
  </si>
  <si>
    <t>22:34:39</t>
  </si>
  <si>
    <t>19:56:54</t>
  </si>
  <si>
    <t>19:28:23</t>
  </si>
  <si>
    <t>09:43:17</t>
  </si>
  <si>
    <t>06:49:56</t>
  </si>
  <si>
    <t>00:43:57</t>
  </si>
  <si>
    <t>15:45:08</t>
  </si>
  <si>
    <t>03:06:30</t>
  </si>
  <si>
    <t>07:13:46</t>
  </si>
  <si>
    <t>10:25:49</t>
  </si>
  <si>
    <t>04:33:43</t>
  </si>
  <si>
    <t>15:45:02</t>
  </si>
  <si>
    <t>08:45:48</t>
  </si>
  <si>
    <t>20:25:23</t>
  </si>
  <si>
    <t>10:35:10</t>
  </si>
  <si>
    <t>21:35:45</t>
  </si>
  <si>
    <t>16:54:11</t>
  </si>
  <si>
    <t>10:04:46</t>
  </si>
  <si>
    <t>12:05:04</t>
  </si>
  <si>
    <t>21:52:14</t>
  </si>
  <si>
    <t>08:31:11</t>
  </si>
  <si>
    <t>04:24:31</t>
  </si>
  <si>
    <t>14:41:09</t>
  </si>
  <si>
    <t>05:35:11</t>
  </si>
  <si>
    <t>11:01:20</t>
  </si>
  <si>
    <t>17:27:56</t>
  </si>
  <si>
    <t>02:56:50</t>
  </si>
  <si>
    <t>11:18:01</t>
  </si>
  <si>
    <t>03:11:30</t>
  </si>
  <si>
    <t>04:35:15</t>
  </si>
  <si>
    <t>10:35:41</t>
  </si>
  <si>
    <t>09:39:48</t>
  </si>
  <si>
    <t>13:31:33</t>
  </si>
  <si>
    <t>18:18:32</t>
  </si>
  <si>
    <t>16:59:55</t>
  </si>
  <si>
    <t>13:40:51</t>
  </si>
  <si>
    <t>08:11:19</t>
  </si>
  <si>
    <t>12:28:28</t>
  </si>
  <si>
    <t>05:33:41</t>
  </si>
  <si>
    <t>18:14:45</t>
  </si>
  <si>
    <t>03:08:05</t>
  </si>
  <si>
    <t>21:06:59</t>
  </si>
  <si>
    <t>14:49:31</t>
  </si>
  <si>
    <t>19:40:44</t>
  </si>
  <si>
    <t>16:25:28</t>
  </si>
  <si>
    <t>05:57:45</t>
  </si>
  <si>
    <t>13:16:36</t>
  </si>
  <si>
    <t>07:44:52</t>
  </si>
  <si>
    <t>12:51:15</t>
  </si>
  <si>
    <t>22:55:27</t>
  </si>
  <si>
    <t>01:31:08</t>
  </si>
  <si>
    <t>15:02:28</t>
  </si>
  <si>
    <t>06:54:02</t>
  </si>
  <si>
    <t>08:20:59</t>
  </si>
  <si>
    <t>14:00:27</t>
  </si>
  <si>
    <t>15:26:43</t>
  </si>
  <si>
    <t>22:25:26</t>
  </si>
  <si>
    <t>00:02:50</t>
  </si>
  <si>
    <t>22:46:23</t>
  </si>
  <si>
    <t>08:00:47</t>
  </si>
  <si>
    <t>09:33:35</t>
  </si>
  <si>
    <t>00:13:11</t>
  </si>
  <si>
    <t>20:01:38</t>
  </si>
  <si>
    <t>06:33:55</t>
  </si>
  <si>
    <t>09:46:43</t>
  </si>
  <si>
    <t>20:47:44</t>
  </si>
  <si>
    <t>14:37:23</t>
  </si>
  <si>
    <t>00:08:51</t>
  </si>
  <si>
    <t>09:31:27</t>
  </si>
  <si>
    <t>21:25:23</t>
  </si>
  <si>
    <t>16:44:13</t>
  </si>
  <si>
    <t>09:05:02</t>
  </si>
  <si>
    <t>03:29:39</t>
  </si>
  <si>
    <t>18:27:23</t>
  </si>
  <si>
    <t>01:15:18</t>
  </si>
  <si>
    <t>22:07:35</t>
  </si>
  <si>
    <t>10:24:24</t>
  </si>
  <si>
    <t>23:35:16</t>
  </si>
  <si>
    <t>04:53:37</t>
  </si>
  <si>
    <t>05:44:11</t>
  </si>
  <si>
    <t>18:03:08</t>
  </si>
  <si>
    <t>02:55:39</t>
  </si>
  <si>
    <t>23:25:51</t>
  </si>
  <si>
    <t>05:28:12</t>
  </si>
  <si>
    <t>06:47:14</t>
  </si>
  <si>
    <t>17:52:44</t>
  </si>
  <si>
    <t>22:31:31</t>
  </si>
  <si>
    <t>18:43:17</t>
  </si>
  <si>
    <t>09:55:21</t>
  </si>
  <si>
    <t>22:41:22</t>
  </si>
  <si>
    <t>13:21:50</t>
  </si>
  <si>
    <t>08:35:05</t>
  </si>
  <si>
    <t>06:30:57</t>
  </si>
  <si>
    <t>09:01:24</t>
  </si>
  <si>
    <t>10:38:44</t>
  </si>
  <si>
    <t>08:44:39</t>
  </si>
  <si>
    <t>10:10:51</t>
  </si>
  <si>
    <t>06:46:28</t>
  </si>
  <si>
    <t>22:27:32</t>
  </si>
  <si>
    <t>18:42:20</t>
  </si>
  <si>
    <t>17:44:01</t>
  </si>
  <si>
    <t>07:28:42</t>
  </si>
  <si>
    <t>01:25:50</t>
  </si>
  <si>
    <t>20:50:23</t>
  </si>
  <si>
    <t>17:44:17</t>
  </si>
  <si>
    <t>00:38:36</t>
  </si>
  <si>
    <t>22:30:30</t>
  </si>
  <si>
    <t>04:59:13</t>
  </si>
  <si>
    <t>17:19:09</t>
  </si>
  <si>
    <t>22:46:20</t>
  </si>
  <si>
    <t>03:47:08</t>
  </si>
  <si>
    <t>07:21:30</t>
  </si>
  <si>
    <t>16:49:20</t>
  </si>
  <si>
    <t>16:59:25</t>
  </si>
  <si>
    <t>06:15:44</t>
  </si>
  <si>
    <t>17:29:54</t>
  </si>
  <si>
    <t>05:25:01</t>
  </si>
  <si>
    <t>00:49:15</t>
  </si>
  <si>
    <t>10:13:34</t>
  </si>
  <si>
    <t>05:34:02</t>
  </si>
  <si>
    <t>03:37:20</t>
  </si>
  <si>
    <t>23:47:53</t>
  </si>
  <si>
    <t>15:54:45</t>
  </si>
  <si>
    <t>03:46:35</t>
  </si>
  <si>
    <t>17:39:16</t>
  </si>
  <si>
    <t>21:59:14</t>
  </si>
  <si>
    <t>21:47:08</t>
  </si>
  <si>
    <t>00:57:26</t>
  </si>
  <si>
    <t>21:16:04</t>
  </si>
  <si>
    <t>12:09:51</t>
  </si>
  <si>
    <t>15:38:50</t>
  </si>
  <si>
    <t>03:13:28</t>
  </si>
  <si>
    <t>14:01:51</t>
  </si>
  <si>
    <t>15:59:36</t>
  </si>
  <si>
    <t>17:56:01</t>
  </si>
  <si>
    <t>20:27:13</t>
  </si>
  <si>
    <t>22:18:21</t>
  </si>
  <si>
    <t>05:26:44</t>
  </si>
  <si>
    <t>13:33:00</t>
  </si>
  <si>
    <t>22:42:24</t>
  </si>
  <si>
    <t>07:28:15</t>
  </si>
  <si>
    <t>18:58:15</t>
  </si>
  <si>
    <t>00:57:10</t>
  </si>
  <si>
    <t>12:34:36</t>
  </si>
  <si>
    <t>03:53:04</t>
  </si>
  <si>
    <t>14:47:52</t>
  </si>
  <si>
    <t>20:27:42</t>
  </si>
  <si>
    <t>13:24:08</t>
  </si>
  <si>
    <t>09:58:35</t>
  </si>
  <si>
    <t>06:20:30</t>
  </si>
  <si>
    <t>17:53:01</t>
  </si>
  <si>
    <t>16:42:26</t>
  </si>
  <si>
    <t>02:56:56</t>
  </si>
  <si>
    <t>04:29:06</t>
  </si>
  <si>
    <t>10:04:49</t>
  </si>
  <si>
    <t>22:48:36</t>
  </si>
  <si>
    <t>05:46:53</t>
  </si>
  <si>
    <t>21:10:06</t>
  </si>
  <si>
    <t>05:56:42</t>
  </si>
  <si>
    <t>06:51:49</t>
  </si>
  <si>
    <t>01:23:40</t>
  </si>
  <si>
    <t>18:29:39</t>
  </si>
  <si>
    <t>13:33:06</t>
  </si>
  <si>
    <t>05:37:56</t>
  </si>
  <si>
    <t>14:57:23</t>
  </si>
  <si>
    <t>03:43:05</t>
  </si>
  <si>
    <t>17:53:46</t>
  </si>
  <si>
    <t>13:40:58</t>
  </si>
  <si>
    <t>04:49:20</t>
  </si>
  <si>
    <t>16:34:44</t>
  </si>
  <si>
    <t>23:44:50</t>
  </si>
  <si>
    <t>12:54:20</t>
  </si>
  <si>
    <t>05:06:18</t>
  </si>
  <si>
    <t>06:35:14</t>
  </si>
  <si>
    <t>20:14:30</t>
  </si>
  <si>
    <t>06:46:07</t>
  </si>
  <si>
    <t>23:19:47</t>
  </si>
  <si>
    <t>12:50:48</t>
  </si>
  <si>
    <t>23:34:28</t>
  </si>
  <si>
    <t>10:50:30</t>
  </si>
  <si>
    <t>11:53:55</t>
  </si>
  <si>
    <t>04:03:12</t>
  </si>
  <si>
    <t>19:44:28</t>
  </si>
  <si>
    <t>02:16:10</t>
  </si>
  <si>
    <t>09:47:21</t>
  </si>
  <si>
    <t>08:43:40</t>
  </si>
  <si>
    <t>03:11:02</t>
  </si>
  <si>
    <t>17:21:43</t>
  </si>
  <si>
    <t>23:40:15</t>
  </si>
  <si>
    <t>03:23:04</t>
  </si>
  <si>
    <t>08:45:23</t>
  </si>
  <si>
    <t>19:52:34</t>
  </si>
  <si>
    <t>21:53:54</t>
  </si>
  <si>
    <t>10:58:30</t>
  </si>
  <si>
    <t>05:53:55</t>
  </si>
  <si>
    <t>11:51:15</t>
  </si>
  <si>
    <t>12:37:13</t>
  </si>
  <si>
    <t>14:59:43</t>
  </si>
  <si>
    <t>14:04:30</t>
  </si>
  <si>
    <t>19:09:08</t>
  </si>
  <si>
    <t>23:47:36</t>
  </si>
  <si>
    <t>06:33:59</t>
  </si>
  <si>
    <t>09:15:42</t>
  </si>
  <si>
    <t>16:29:18</t>
  </si>
  <si>
    <t>17:23:49</t>
  </si>
  <si>
    <t>07:59:11</t>
  </si>
  <si>
    <t>23:40:03</t>
  </si>
  <si>
    <t>00:41:18</t>
  </si>
  <si>
    <t>21:12:50</t>
  </si>
  <si>
    <t>02:46:27</t>
  </si>
  <si>
    <t>06:59:53</t>
  </si>
  <si>
    <t>20:28:31</t>
  </si>
  <si>
    <t>13:39:02</t>
  </si>
  <si>
    <t>09:27:52</t>
  </si>
  <si>
    <t>08:29:32</t>
  </si>
  <si>
    <t>01:19:42</t>
  </si>
  <si>
    <t>05:54:36</t>
  </si>
  <si>
    <t>06:54:03</t>
  </si>
  <si>
    <t>11:52:12</t>
  </si>
  <si>
    <t>19:37:21</t>
  </si>
  <si>
    <t>15:34:31</t>
  </si>
  <si>
    <t>14:35:45</t>
  </si>
  <si>
    <t>15:44:41</t>
  </si>
  <si>
    <t>06:00:55</t>
  </si>
  <si>
    <t>15:11:02</t>
  </si>
  <si>
    <t>08:34:53</t>
  </si>
  <si>
    <t>15:18:11</t>
  </si>
  <si>
    <t>11:00:03</t>
  </si>
  <si>
    <t>08:26:50</t>
  </si>
  <si>
    <t>00:24:43</t>
  </si>
  <si>
    <t>10:05:03</t>
  </si>
  <si>
    <t>04:19:31</t>
  </si>
  <si>
    <t>17:14:37</t>
  </si>
  <si>
    <t>18:45:41</t>
  </si>
  <si>
    <t>23:43:28</t>
  </si>
  <si>
    <t>03:04:26</t>
  </si>
  <si>
    <t>12:27:25</t>
  </si>
  <si>
    <t>10:41:43</t>
  </si>
  <si>
    <t>20:10:43</t>
  </si>
  <si>
    <t>11:38:36</t>
  </si>
  <si>
    <t>10:33:52</t>
  </si>
  <si>
    <t>22:42:39</t>
  </si>
  <si>
    <t>09:31:29</t>
  </si>
  <si>
    <t>09:19:46</t>
  </si>
  <si>
    <t>21:14:38</t>
  </si>
  <si>
    <t>15:58:53</t>
  </si>
  <si>
    <t>12:05:41</t>
  </si>
  <si>
    <t>02:54:23</t>
  </si>
  <si>
    <t>07:05:11</t>
  </si>
  <si>
    <t>10:50:23</t>
  </si>
  <si>
    <t>18:34:02</t>
  </si>
  <si>
    <t>14:35:39</t>
  </si>
  <si>
    <t>02:52:20</t>
  </si>
  <si>
    <t>10:33:07</t>
  </si>
  <si>
    <t>09:51:24</t>
  </si>
  <si>
    <t>20:10:30</t>
  </si>
  <si>
    <t>20:53:04</t>
  </si>
  <si>
    <t>00:31:47</t>
  </si>
  <si>
    <t>04:04:19</t>
  </si>
  <si>
    <t>13:02:42</t>
  </si>
  <si>
    <t>21:07:18</t>
  </si>
  <si>
    <t>19:33:36</t>
  </si>
  <si>
    <t>12:14:10</t>
  </si>
  <si>
    <t>00:07:15</t>
  </si>
  <si>
    <t>08:47:14</t>
  </si>
  <si>
    <t>06:38:04</t>
  </si>
  <si>
    <t>05:45:27</t>
  </si>
  <si>
    <t>18:27:35</t>
  </si>
  <si>
    <t>08:19:07</t>
  </si>
  <si>
    <t>01:16:23</t>
  </si>
  <si>
    <t>02:27:18</t>
  </si>
  <si>
    <t>02:05:06</t>
  </si>
  <si>
    <t>08:18:15</t>
  </si>
  <si>
    <t>12:10:36</t>
  </si>
  <si>
    <t>04:12:20</t>
  </si>
  <si>
    <t>02:46:16</t>
  </si>
  <si>
    <t>05:37:55</t>
  </si>
  <si>
    <t>01:03:02</t>
  </si>
  <si>
    <t>18:12:36</t>
  </si>
  <si>
    <t>15:52:52</t>
  </si>
  <si>
    <t>11:10:43</t>
  </si>
  <si>
    <t>20:48:48</t>
  </si>
  <si>
    <t>12:04:15</t>
  </si>
  <si>
    <t>02:36:45</t>
  </si>
  <si>
    <t>02:29:46</t>
  </si>
  <si>
    <t>03:00:01</t>
  </si>
  <si>
    <t>01:12:34</t>
  </si>
  <si>
    <t>16:46:34</t>
  </si>
  <si>
    <t>12:40:06</t>
  </si>
  <si>
    <t>21:41:18</t>
  </si>
  <si>
    <t>18:51:12</t>
  </si>
  <si>
    <t>16:35:28</t>
  </si>
  <si>
    <t>06:13:30</t>
  </si>
  <si>
    <t>08:03:37</t>
  </si>
  <si>
    <t>04:43:46</t>
  </si>
  <si>
    <t>21:09:31</t>
  </si>
  <si>
    <t>01:04:28</t>
  </si>
  <si>
    <t>15:06:18</t>
  </si>
  <si>
    <t>15:43:42</t>
  </si>
  <si>
    <t>21:05:38</t>
  </si>
  <si>
    <t>16:01:40</t>
  </si>
  <si>
    <t>13:25:17</t>
  </si>
  <si>
    <t>07:19:13</t>
  </si>
  <si>
    <t>11:30:19</t>
  </si>
  <si>
    <t>03:51:26</t>
  </si>
  <si>
    <t>21:08:26</t>
  </si>
  <si>
    <t>02:29:08</t>
  </si>
  <si>
    <t>04:40:06</t>
  </si>
  <si>
    <t>01:51:31</t>
  </si>
  <si>
    <t>11:55:04</t>
  </si>
  <si>
    <t>19:48:44</t>
  </si>
  <si>
    <t>02:55:29</t>
  </si>
  <si>
    <t>08:36:31</t>
  </si>
  <si>
    <t>03:10:32</t>
  </si>
  <si>
    <t>17:54:41</t>
  </si>
  <si>
    <t>07:11:33</t>
  </si>
  <si>
    <t>06:50:14</t>
  </si>
  <si>
    <t>04:44:42</t>
  </si>
  <si>
    <t>09:50:05</t>
  </si>
  <si>
    <t>22:42:38</t>
  </si>
  <si>
    <t>18:23:17</t>
  </si>
  <si>
    <t>13:00:52</t>
  </si>
  <si>
    <t>04:53:45</t>
  </si>
  <si>
    <t>10:23:23</t>
  </si>
  <si>
    <t>20:13:44</t>
  </si>
  <si>
    <t>12:43:07</t>
  </si>
  <si>
    <t>22:16:48</t>
  </si>
  <si>
    <t>23:27:24</t>
  </si>
  <si>
    <t>15:33:07</t>
  </si>
  <si>
    <t>16:58:37</t>
  </si>
  <si>
    <t>15:06:44</t>
  </si>
  <si>
    <t>05:36:29</t>
  </si>
  <si>
    <t>12:50:57</t>
  </si>
  <si>
    <t>12:10:00</t>
  </si>
  <si>
    <t>15:56:55</t>
  </si>
  <si>
    <t>14:34:14</t>
  </si>
  <si>
    <t>00:44:05</t>
  </si>
  <si>
    <t>05:02:45</t>
  </si>
  <si>
    <t>16:28:38</t>
  </si>
  <si>
    <t>08:22:36</t>
  </si>
  <si>
    <t>02:53:11</t>
  </si>
  <si>
    <t>08:17:07</t>
  </si>
  <si>
    <t>01:02:33</t>
  </si>
  <si>
    <t>22:17:42</t>
  </si>
  <si>
    <t>07:36:32</t>
  </si>
  <si>
    <t>07:39:59</t>
  </si>
  <si>
    <t>18:04:56</t>
  </si>
  <si>
    <t>03:18:41</t>
  </si>
  <si>
    <t>20:38:05</t>
  </si>
  <si>
    <t>08:32:59</t>
  </si>
  <si>
    <t>12:42:28</t>
  </si>
  <si>
    <t>10:24:01</t>
  </si>
  <si>
    <t>12:19:38</t>
  </si>
  <si>
    <t>18:37:45</t>
  </si>
  <si>
    <t>21:17:39</t>
  </si>
  <si>
    <t>08:30:03</t>
  </si>
  <si>
    <t>17:02:09</t>
  </si>
  <si>
    <t>PID022</t>
  </si>
  <si>
    <t>PID015</t>
  </si>
  <si>
    <t>PID049</t>
  </si>
  <si>
    <t>PID010</t>
  </si>
  <si>
    <t>PID043</t>
  </si>
  <si>
    <t>PID023</t>
  </si>
  <si>
    <t>PID046</t>
  </si>
  <si>
    <t>PID034</t>
  </si>
  <si>
    <t>PID033</t>
  </si>
  <si>
    <t>PID041</t>
  </si>
  <si>
    <t>PID007</t>
  </si>
  <si>
    <t>PID042</t>
  </si>
  <si>
    <t>PID047</t>
  </si>
  <si>
    <t>PID039</t>
  </si>
  <si>
    <t>PID014</t>
  </si>
  <si>
    <t>PID024</t>
  </si>
  <si>
    <t>PID003</t>
  </si>
  <si>
    <t>PID008</t>
  </si>
  <si>
    <t>PID012</t>
  </si>
  <si>
    <t>PID028</t>
  </si>
  <si>
    <t>PID030</t>
  </si>
  <si>
    <t>PID004</t>
  </si>
  <si>
    <t>PID038</t>
  </si>
  <si>
    <t>PID018</t>
  </si>
  <si>
    <t>PID040</t>
  </si>
  <si>
    <t>PID050</t>
  </si>
  <si>
    <t>PID021</t>
  </si>
  <si>
    <t>PID036</t>
  </si>
  <si>
    <t>PID027</t>
  </si>
  <si>
    <t>PID031</t>
  </si>
  <si>
    <t>PID037</t>
  </si>
  <si>
    <t>PID020</t>
  </si>
  <si>
    <t>PID026</t>
  </si>
  <si>
    <t>PID001</t>
  </si>
  <si>
    <t>PID019</t>
  </si>
  <si>
    <t>PID009</t>
  </si>
  <si>
    <t>PID048</t>
  </si>
  <si>
    <t>PID017</t>
  </si>
  <si>
    <t>PID006</t>
  </si>
  <si>
    <t>PID025</t>
  </si>
  <si>
    <t>PID005</t>
  </si>
  <si>
    <t>PID035</t>
  </si>
  <si>
    <t>PID013</t>
  </si>
  <si>
    <t>PID032</t>
  </si>
  <si>
    <t>PID016</t>
  </si>
  <si>
    <t>PID044</t>
  </si>
  <si>
    <t>PID029</t>
  </si>
  <si>
    <t>PID002</t>
  </si>
  <si>
    <t>PID011</t>
  </si>
  <si>
    <t>PID045</t>
  </si>
  <si>
    <t>DEL0</t>
  </si>
  <si>
    <t>FLAT15</t>
  </si>
  <si>
    <t>FLAT10</t>
  </si>
  <si>
    <t>FLAT20</t>
  </si>
  <si>
    <t>08:51:31</t>
  </si>
  <si>
    <t>18:46:26</t>
  </si>
  <si>
    <t>00:33:26</t>
  </si>
  <si>
    <t>01:12:58</t>
  </si>
  <si>
    <t>22:10:58</t>
  </si>
  <si>
    <t>11:25:50</t>
  </si>
  <si>
    <t>14:29:50</t>
  </si>
  <si>
    <t>12:36:32</t>
  </si>
  <si>
    <t>23:05:41</t>
  </si>
  <si>
    <t>19:57:06</t>
  </si>
  <si>
    <t>19:38:50</t>
  </si>
  <si>
    <t>22:54:40</t>
  </si>
  <si>
    <t>13:19:45</t>
  </si>
  <si>
    <t>15:16:54</t>
  </si>
  <si>
    <t>21:47:03</t>
  </si>
  <si>
    <t>11:25:46</t>
  </si>
  <si>
    <t>12:55:59</t>
  </si>
  <si>
    <t>03:46:23</t>
  </si>
  <si>
    <t>10:08:54</t>
  </si>
  <si>
    <t>14:05:20</t>
  </si>
  <si>
    <t>13:39:21</t>
  </si>
  <si>
    <t>13:23:35</t>
  </si>
  <si>
    <t>16:23:04</t>
  </si>
  <si>
    <t>00:57:21</t>
  </si>
  <si>
    <t>04:38:19</t>
  </si>
  <si>
    <t>20:36:00</t>
  </si>
  <si>
    <t>10:04:54</t>
  </si>
  <si>
    <t>01:26:28</t>
  </si>
  <si>
    <t>08:01:21</t>
  </si>
  <si>
    <t>20:26:25</t>
  </si>
  <si>
    <t>17:27:57</t>
  </si>
  <si>
    <t>00:47:16</t>
  </si>
  <si>
    <t>08:49:03</t>
  </si>
  <si>
    <t>09:55:32</t>
  </si>
  <si>
    <t>09:09:46</t>
  </si>
  <si>
    <t>14:14:46</t>
  </si>
  <si>
    <t>00:00:51</t>
  </si>
  <si>
    <t>16:46:20</t>
  </si>
  <si>
    <t>01:56:00</t>
  </si>
  <si>
    <t>18:12:43</t>
  </si>
  <si>
    <t>11:25:58</t>
  </si>
  <si>
    <t>09:02:09</t>
  </si>
  <si>
    <t>15:28:39</t>
  </si>
  <si>
    <t>12:37:05</t>
  </si>
  <si>
    <t>16:09:29</t>
  </si>
  <si>
    <t>00:31:21</t>
  </si>
  <si>
    <t>06:23:07</t>
  </si>
  <si>
    <t>07:23:46</t>
  </si>
  <si>
    <t>09:51:58</t>
  </si>
  <si>
    <t>00:47:31</t>
  </si>
  <si>
    <t>17:14:10</t>
  </si>
  <si>
    <t>08:48:02</t>
  </si>
  <si>
    <t>07:09:53</t>
  </si>
  <si>
    <t>07:53:31</t>
  </si>
  <si>
    <t>10:56:05</t>
  </si>
  <si>
    <t>16:08:19</t>
  </si>
  <si>
    <t>03:08:52</t>
  </si>
  <si>
    <t>03:15:28</t>
  </si>
  <si>
    <t>00:00:42</t>
  </si>
  <si>
    <t>13:09:47</t>
  </si>
  <si>
    <t>20:00:32</t>
  </si>
  <si>
    <t>15:52:25</t>
  </si>
  <si>
    <t>02:44:55</t>
  </si>
  <si>
    <t>09:05:06</t>
  </si>
  <si>
    <t>05:56:26</t>
  </si>
  <si>
    <t>23:33:51</t>
  </si>
  <si>
    <t>12:18:47</t>
  </si>
  <si>
    <t>07:24:20</t>
  </si>
  <si>
    <t>21:00:17</t>
  </si>
  <si>
    <t>08:17:58</t>
  </si>
  <si>
    <t>22:41:33</t>
  </si>
  <si>
    <t>10:39:08</t>
  </si>
  <si>
    <t>05:38:59</t>
  </si>
  <si>
    <t>11:35:56</t>
  </si>
  <si>
    <t>05:24:44</t>
  </si>
  <si>
    <t>19:58:13</t>
  </si>
  <si>
    <t>07:38:34</t>
  </si>
  <si>
    <t>01:07:36</t>
  </si>
  <si>
    <t>16:14:09</t>
  </si>
  <si>
    <t>09:07:52</t>
  </si>
  <si>
    <t>20:24:13</t>
  </si>
  <si>
    <t>15:38:07</t>
  </si>
  <si>
    <t>13:48:26</t>
  </si>
  <si>
    <t>07:00:32</t>
  </si>
  <si>
    <t>13:15:51</t>
  </si>
  <si>
    <t>13:53:47</t>
  </si>
  <si>
    <t>21:18:20</t>
  </si>
  <si>
    <t>17:13:41</t>
  </si>
  <si>
    <t>23:09:43</t>
  </si>
  <si>
    <t>11:02:15</t>
  </si>
  <si>
    <t>00:56:16</t>
  </si>
  <si>
    <t>00:26:45</t>
  </si>
  <si>
    <t>06:56:06</t>
  </si>
  <si>
    <t>01:56:42</t>
  </si>
  <si>
    <t>10:01:40</t>
  </si>
  <si>
    <t>22:15:50</t>
  </si>
  <si>
    <t>06:23:31</t>
  </si>
  <si>
    <t>01:29:42</t>
  </si>
  <si>
    <t>10:10:26</t>
  </si>
  <si>
    <t>17:07:06</t>
  </si>
  <si>
    <t>02:45:47</t>
  </si>
  <si>
    <t>14:51:25</t>
  </si>
  <si>
    <t>06:09:27</t>
  </si>
  <si>
    <t>15:21:29</t>
  </si>
  <si>
    <t>09:59:33</t>
  </si>
  <si>
    <t>19:43:27</t>
  </si>
  <si>
    <t>04:57:03</t>
  </si>
  <si>
    <t>21:42:51</t>
  </si>
  <si>
    <t>22:28:20</t>
  </si>
  <si>
    <t>09:50:58</t>
  </si>
  <si>
    <t>16:26:05</t>
  </si>
  <si>
    <t>19:04:22</t>
  </si>
  <si>
    <t>11:54:49</t>
  </si>
  <si>
    <t>23:22:12</t>
  </si>
  <si>
    <t>16:45:09</t>
  </si>
  <si>
    <t>11:58:32</t>
  </si>
  <si>
    <t>11:16:12</t>
  </si>
  <si>
    <t>01:22:23</t>
  </si>
  <si>
    <t>23:08:52</t>
  </si>
  <si>
    <t>14:30:24</t>
  </si>
  <si>
    <t>04:39:06</t>
  </si>
  <si>
    <t>14:05:53</t>
  </si>
  <si>
    <t>21:00:20</t>
  </si>
  <si>
    <t>23:53:27</t>
  </si>
  <si>
    <t>11:45:52</t>
  </si>
  <si>
    <t>16:29:02</t>
  </si>
  <si>
    <t>11:25:35</t>
  </si>
  <si>
    <t>19:20:55</t>
  </si>
  <si>
    <t>19:14:57</t>
  </si>
  <si>
    <t>13:38:46</t>
  </si>
  <si>
    <t>23:51:56</t>
  </si>
  <si>
    <t>16:24:38</t>
  </si>
  <si>
    <t>01:21:39</t>
  </si>
  <si>
    <t>14:08:36</t>
  </si>
  <si>
    <t>15:41:07</t>
  </si>
  <si>
    <t>03:43:44</t>
  </si>
  <si>
    <t>21:20:28</t>
  </si>
  <si>
    <t>23:29:03</t>
  </si>
  <si>
    <t>10:17:52</t>
  </si>
  <si>
    <t>05:48:39</t>
  </si>
  <si>
    <t>11:48:40</t>
  </si>
  <si>
    <t>02:59:45</t>
  </si>
  <si>
    <t>02:22:56</t>
  </si>
  <si>
    <t>11:32:19</t>
  </si>
  <si>
    <t>16:27:25</t>
  </si>
  <si>
    <t>22:10:44</t>
  </si>
  <si>
    <t>04:56:51</t>
  </si>
  <si>
    <t>19:53:01</t>
  </si>
  <si>
    <t>06:57:51</t>
  </si>
  <si>
    <t>09:05:57</t>
  </si>
  <si>
    <t>08:21:37</t>
  </si>
  <si>
    <t>01:47:49</t>
  </si>
  <si>
    <t>19:16:06</t>
  </si>
  <si>
    <t>10:48:42</t>
  </si>
  <si>
    <t>11:54:10</t>
  </si>
  <si>
    <t>00:12:03</t>
  </si>
  <si>
    <t>09:34:31</t>
  </si>
  <si>
    <t>18:09:14</t>
  </si>
  <si>
    <t>22:23:04</t>
  </si>
  <si>
    <t>18:05:47</t>
  </si>
  <si>
    <t>10:43:13</t>
  </si>
  <si>
    <t>09:56:25</t>
  </si>
  <si>
    <t>06:44:34</t>
  </si>
  <si>
    <t>07:56:25</t>
  </si>
  <si>
    <t>04:56:02</t>
  </si>
  <si>
    <t>12:21:09</t>
  </si>
  <si>
    <t>05:22:25</t>
  </si>
  <si>
    <t>05:26:37</t>
  </si>
  <si>
    <t>06:56:11</t>
  </si>
  <si>
    <t>18:17:55</t>
  </si>
  <si>
    <t>15:55:56</t>
  </si>
  <si>
    <t>09:28:47</t>
  </si>
  <si>
    <t>06:37:23</t>
  </si>
  <si>
    <t>02:03:42</t>
  </si>
  <si>
    <t>10:39:26</t>
  </si>
  <si>
    <t>01:05:29</t>
  </si>
  <si>
    <t>00:35:18</t>
  </si>
  <si>
    <t>18:28:53</t>
  </si>
  <si>
    <t>12:21:43</t>
  </si>
  <si>
    <t>13:20:58</t>
  </si>
  <si>
    <t>13:20:38</t>
  </si>
  <si>
    <t>04:04:13</t>
  </si>
  <si>
    <t>00:33:10</t>
  </si>
  <si>
    <t>04:10:37</t>
  </si>
  <si>
    <t>16:30:13</t>
  </si>
  <si>
    <t>13:33:22</t>
  </si>
  <si>
    <t>08:04:55</t>
  </si>
  <si>
    <t>23:44:01</t>
  </si>
  <si>
    <t>00:28:50</t>
  </si>
  <si>
    <t>23:34:55</t>
  </si>
  <si>
    <t>22:37:23</t>
  </si>
  <si>
    <t>14:39:46</t>
  </si>
  <si>
    <t>04:23:57</t>
  </si>
  <si>
    <t>12:39:46</t>
  </si>
  <si>
    <t>17:38:42</t>
  </si>
  <si>
    <t>12:31:34</t>
  </si>
  <si>
    <t>23:02:25</t>
  </si>
  <si>
    <t>20:52:06</t>
  </si>
  <si>
    <t>20:49:10</t>
  </si>
  <si>
    <t>08:30:57</t>
  </si>
  <si>
    <t>17:20:58</t>
  </si>
  <si>
    <t>13:06:14</t>
  </si>
  <si>
    <t>18:31:17</t>
  </si>
  <si>
    <t>12:58:48</t>
  </si>
  <si>
    <t>13:05:17</t>
  </si>
  <si>
    <t>06:31:08</t>
  </si>
  <si>
    <t>00:16:22</t>
  </si>
  <si>
    <t>01:58:28</t>
  </si>
  <si>
    <t>10:47:50</t>
  </si>
  <si>
    <t>15:58:45</t>
  </si>
  <si>
    <t>23:19:19</t>
  </si>
  <si>
    <t>05:31:50</t>
  </si>
  <si>
    <t>23:33:34</t>
  </si>
  <si>
    <t>12:42:53</t>
  </si>
  <si>
    <t>16:11:48</t>
  </si>
  <si>
    <t>03:39:43</t>
  </si>
  <si>
    <t>20:08:57</t>
  </si>
  <si>
    <t>01:46:46</t>
  </si>
  <si>
    <t>07:56:46</t>
  </si>
  <si>
    <t>18:54:47</t>
  </si>
  <si>
    <t>10:45:58</t>
  </si>
  <si>
    <t>13:12:04</t>
  </si>
  <si>
    <t>09:03:16</t>
  </si>
  <si>
    <t>09:29:13</t>
  </si>
  <si>
    <t>05:46:18</t>
  </si>
  <si>
    <t>14:18:48</t>
  </si>
  <si>
    <t>17:01:58</t>
  </si>
  <si>
    <t>07:02:28</t>
  </si>
  <si>
    <t>22:38:31</t>
  </si>
  <si>
    <t>03:01:00</t>
  </si>
  <si>
    <t>18:29:46</t>
  </si>
  <si>
    <t>09:50:44</t>
  </si>
  <si>
    <t>08:01:14</t>
  </si>
  <si>
    <t>18:41:50</t>
  </si>
  <si>
    <t>15:48:50</t>
  </si>
  <si>
    <t>13:35:45</t>
  </si>
  <si>
    <t>02:58:17</t>
  </si>
  <si>
    <t>11:47:41</t>
  </si>
  <si>
    <t>22:31:13</t>
  </si>
  <si>
    <t>00:21:21</t>
  </si>
  <si>
    <t>16:03:33</t>
  </si>
  <si>
    <t>12:34:57</t>
  </si>
  <si>
    <t>18:04:09</t>
  </si>
  <si>
    <t>01:51:44</t>
  </si>
  <si>
    <t>09:53:18</t>
  </si>
  <si>
    <t>20:13:27</t>
  </si>
  <si>
    <t>23:12:23</t>
  </si>
  <si>
    <t>16:22:11</t>
  </si>
  <si>
    <t>09:03:23</t>
  </si>
  <si>
    <t>15:31:26</t>
  </si>
  <si>
    <t>03:23:26</t>
  </si>
  <si>
    <t>09:57:13</t>
  </si>
  <si>
    <t>22:40:50</t>
  </si>
  <si>
    <t>13:29:40</t>
  </si>
  <si>
    <t>09:11:07</t>
  </si>
  <si>
    <t>07:27:00</t>
  </si>
  <si>
    <t>02:19:52</t>
  </si>
  <si>
    <t>07:05:22</t>
  </si>
  <si>
    <t>00:06:39</t>
  </si>
  <si>
    <t>15:11:50</t>
  </si>
  <si>
    <t>08:01:11</t>
  </si>
  <si>
    <t>00:49:45</t>
  </si>
  <si>
    <t>19:22:50</t>
  </si>
  <si>
    <t>11:20:17</t>
  </si>
  <si>
    <t>05:28:25</t>
  </si>
  <si>
    <t>00:34:58</t>
  </si>
  <si>
    <t>12:42:34</t>
  </si>
  <si>
    <t>23:16:52</t>
  </si>
  <si>
    <t>10:41:25</t>
  </si>
  <si>
    <t>05:11:05</t>
  </si>
  <si>
    <t>12:50:53</t>
  </si>
  <si>
    <t>07:58:28</t>
  </si>
  <si>
    <t>23:41:13</t>
  </si>
  <si>
    <t>07:38:19</t>
  </si>
  <si>
    <t>15:52:42</t>
  </si>
  <si>
    <t>22:27:12</t>
  </si>
  <si>
    <t>12:35:14</t>
  </si>
  <si>
    <t>06:17:48</t>
  </si>
  <si>
    <t>16:40:47</t>
  </si>
  <si>
    <t>19:19:52</t>
  </si>
  <si>
    <t>12:59:43</t>
  </si>
  <si>
    <t>02:21:23</t>
  </si>
  <si>
    <t>03:55:32</t>
  </si>
  <si>
    <t>10:14:17</t>
  </si>
  <si>
    <t>15:27:26</t>
  </si>
  <si>
    <t>17:06:11</t>
  </si>
  <si>
    <t>10:15:00</t>
  </si>
  <si>
    <t>07:39:38</t>
  </si>
  <si>
    <t>14:02:18</t>
  </si>
  <si>
    <t>20:45:00</t>
  </si>
  <si>
    <t>05:26:03</t>
  </si>
  <si>
    <t>08:22:44</t>
  </si>
  <si>
    <t>11:28:09</t>
  </si>
  <si>
    <t>22:44:53</t>
  </si>
  <si>
    <t>22:07:13</t>
  </si>
  <si>
    <t>11:30:05</t>
  </si>
  <si>
    <t>01:30:58</t>
  </si>
  <si>
    <t>08:42:57</t>
  </si>
  <si>
    <t>03:42:23</t>
  </si>
  <si>
    <t>08:40:53</t>
  </si>
  <si>
    <t>19:01:55</t>
  </si>
  <si>
    <t>02:01:44</t>
  </si>
  <si>
    <t>04:01:49</t>
  </si>
  <si>
    <t>15:40:22</t>
  </si>
  <si>
    <t>09:49:51</t>
  </si>
  <si>
    <t>17:57:56</t>
  </si>
  <si>
    <t>18:13:08</t>
  </si>
  <si>
    <t>02:14:28</t>
  </si>
  <si>
    <t>16:13:35</t>
  </si>
  <si>
    <t>16:28:56</t>
  </si>
  <si>
    <t>04:23:25</t>
  </si>
  <si>
    <t>17:32:38</t>
  </si>
  <si>
    <t>20:00:01</t>
  </si>
  <si>
    <t>23:36:21</t>
  </si>
  <si>
    <t>12:31:00</t>
  </si>
  <si>
    <t>19:17:45</t>
  </si>
  <si>
    <t>16:06:37</t>
  </si>
  <si>
    <t>19:56:33</t>
  </si>
  <si>
    <t>02:05:20</t>
  </si>
  <si>
    <t>16:59:14</t>
  </si>
  <si>
    <t>00:56:01</t>
  </si>
  <si>
    <t>13:27:06</t>
  </si>
  <si>
    <t>02:51:48</t>
  </si>
  <si>
    <t>06:31:20</t>
  </si>
  <si>
    <t>20:10:50</t>
  </si>
  <si>
    <t>05:13:28</t>
  </si>
  <si>
    <t>19:39:57</t>
  </si>
  <si>
    <t>08:00:35</t>
  </si>
  <si>
    <t>20:14:00</t>
  </si>
  <si>
    <t>05:02:16</t>
  </si>
  <si>
    <t>15:13:07</t>
  </si>
  <si>
    <t>07:40:09</t>
  </si>
  <si>
    <t>23:00:06</t>
  </si>
  <si>
    <t>13:36:46</t>
  </si>
  <si>
    <t>02:00:46</t>
  </si>
  <si>
    <t>10:20:47</t>
  </si>
  <si>
    <t>14:41:40</t>
  </si>
  <si>
    <t>06:29:31</t>
  </si>
  <si>
    <t>02:17:23</t>
  </si>
  <si>
    <t>23:23:19</t>
  </si>
  <si>
    <t>04:39:51</t>
  </si>
  <si>
    <t>13:29:05</t>
  </si>
  <si>
    <t>09:33:25</t>
  </si>
  <si>
    <t>19:58:19</t>
  </si>
  <si>
    <t>01:46:13</t>
  </si>
  <si>
    <t>05:33:08</t>
  </si>
  <si>
    <t>09:33:08</t>
  </si>
  <si>
    <t>09:19:40</t>
  </si>
  <si>
    <t>09:07:45</t>
  </si>
  <si>
    <t>06:40:47</t>
  </si>
  <si>
    <t>21:07:49</t>
  </si>
  <si>
    <t>22:26:18</t>
  </si>
  <si>
    <t>06:39:28</t>
  </si>
  <si>
    <t>20:53:18</t>
  </si>
  <si>
    <t>12:32:31</t>
  </si>
  <si>
    <t>01:52:14</t>
  </si>
  <si>
    <t>17:18:51</t>
  </si>
  <si>
    <t>01:13:09</t>
  </si>
  <si>
    <t>23:25:32</t>
  </si>
  <si>
    <t>03:13:08</t>
  </si>
  <si>
    <t>10:35:02</t>
  </si>
  <si>
    <t>07:09:27</t>
  </si>
  <si>
    <t>03:08:53</t>
  </si>
  <si>
    <t>22:23:18</t>
  </si>
  <si>
    <t>14:16:59</t>
  </si>
  <si>
    <t>13:26:32</t>
  </si>
  <si>
    <t>23:05:05</t>
  </si>
  <si>
    <t>15:17:48</t>
  </si>
  <si>
    <t>19:28:55</t>
  </si>
  <si>
    <t>08:45:35</t>
  </si>
  <si>
    <t>10:06:44</t>
  </si>
  <si>
    <t>17:52:11</t>
  </si>
  <si>
    <t>12:54:21</t>
  </si>
  <si>
    <t>21:20:42</t>
  </si>
  <si>
    <t>12:35:16</t>
  </si>
  <si>
    <t>16:05:07</t>
  </si>
  <si>
    <t>23:59:41</t>
  </si>
  <si>
    <t>19:20:26</t>
  </si>
  <si>
    <t>08:44:22</t>
  </si>
  <si>
    <t>21:12:03</t>
  </si>
  <si>
    <t>11:21:30</t>
  </si>
  <si>
    <t>23:12:16</t>
  </si>
  <si>
    <t>07:20:39</t>
  </si>
  <si>
    <t>02:07:12</t>
  </si>
  <si>
    <t>14:14:53</t>
  </si>
  <si>
    <t>04:38:50</t>
  </si>
  <si>
    <t>18:15:03</t>
  </si>
  <si>
    <t>10:39:52</t>
  </si>
  <si>
    <t>13:27:30</t>
  </si>
  <si>
    <t>17:37:51</t>
  </si>
  <si>
    <t>04:02:49</t>
  </si>
  <si>
    <t>06:32:27</t>
  </si>
  <si>
    <t>00:10:27</t>
  </si>
  <si>
    <t>15:08:52</t>
  </si>
  <si>
    <t>00:48:16</t>
  </si>
  <si>
    <t>11:06:01</t>
  </si>
  <si>
    <t>00:48:55</t>
  </si>
  <si>
    <t>06:40:28</t>
  </si>
  <si>
    <t>00:38:35</t>
  </si>
  <si>
    <t>06:30:50</t>
  </si>
  <si>
    <t>03:34:04</t>
  </si>
  <si>
    <t>06:30:27</t>
  </si>
  <si>
    <t>19:25:43</t>
  </si>
  <si>
    <t>08:13:41</t>
  </si>
  <si>
    <t>16:20:46</t>
  </si>
  <si>
    <t>15:09:01</t>
  </si>
  <si>
    <t>03:55:26</t>
  </si>
  <si>
    <t>21:24:42</t>
  </si>
  <si>
    <t>04:48:38</t>
  </si>
  <si>
    <t>02:03:44</t>
  </si>
  <si>
    <t>08:36:13</t>
  </si>
  <si>
    <t>23:31:23</t>
  </si>
  <si>
    <t>09:28:52</t>
  </si>
  <si>
    <t>07:58:32</t>
  </si>
  <si>
    <t>12:11:43</t>
  </si>
  <si>
    <t>08:40:48</t>
  </si>
  <si>
    <t>04:54:21</t>
  </si>
  <si>
    <t>22:30:31</t>
  </si>
  <si>
    <t>14:43:30</t>
  </si>
  <si>
    <t>15:06:55</t>
  </si>
  <si>
    <t>05:18:08</t>
  </si>
  <si>
    <t>14:57:01</t>
  </si>
  <si>
    <t>13:28:57</t>
  </si>
  <si>
    <t>06:03:03</t>
  </si>
  <si>
    <t>10:01:43</t>
  </si>
  <si>
    <t>04:45:34</t>
  </si>
  <si>
    <t>03:46:12</t>
  </si>
  <si>
    <t>21:10:12</t>
  </si>
  <si>
    <t>01:58:20</t>
  </si>
  <si>
    <t>07:06:38</t>
  </si>
  <si>
    <t>00:33:32</t>
  </si>
  <si>
    <t>13:50:58</t>
  </si>
  <si>
    <t>01:46:40</t>
  </si>
  <si>
    <t>06:09:19</t>
  </si>
  <si>
    <t>16:40:55</t>
  </si>
  <si>
    <t>03:50:06</t>
  </si>
  <si>
    <t>15:41:25</t>
  </si>
  <si>
    <t>17:28:07</t>
  </si>
  <si>
    <t>02:24:54</t>
  </si>
  <si>
    <t>13:52:42</t>
  </si>
  <si>
    <t>04:47:20</t>
  </si>
  <si>
    <t>02:44:11</t>
  </si>
  <si>
    <t>12:59:30</t>
  </si>
  <si>
    <t>09:20:03</t>
  </si>
  <si>
    <t>01:57:29</t>
  </si>
  <si>
    <t>02:03:57</t>
  </si>
  <si>
    <t>05:04:36</t>
  </si>
  <si>
    <t>05:45:33</t>
  </si>
  <si>
    <t>16:27:41</t>
  </si>
  <si>
    <t>04:21:49</t>
  </si>
  <si>
    <t>19:33:15</t>
  </si>
  <si>
    <t>11:44:11</t>
  </si>
  <si>
    <t>08:42:42</t>
  </si>
  <si>
    <t>03:38:41</t>
  </si>
  <si>
    <t>13:55:34</t>
  </si>
  <si>
    <t>02:15:04</t>
  </si>
  <si>
    <t>23:38:57</t>
  </si>
  <si>
    <t>12:41:59</t>
  </si>
  <si>
    <t>19:23:44</t>
  </si>
  <si>
    <t>00:18:32</t>
  </si>
  <si>
    <t>05:48:22</t>
  </si>
  <si>
    <t>21:18:46</t>
  </si>
  <si>
    <t>09:06:18</t>
  </si>
  <si>
    <t>05:09:35</t>
  </si>
  <si>
    <t>16:09:18</t>
  </si>
  <si>
    <t>06:00:22</t>
  </si>
  <si>
    <t>15:51:15</t>
  </si>
  <si>
    <t>01:05:53</t>
  </si>
  <si>
    <t>14:31:29</t>
  </si>
  <si>
    <t>07:21:52</t>
  </si>
  <si>
    <t>01:24:34</t>
  </si>
  <si>
    <t>09:31:36</t>
  </si>
  <si>
    <t>18:16:24</t>
  </si>
  <si>
    <t>09:32:58</t>
  </si>
  <si>
    <t>17:45:57</t>
  </si>
  <si>
    <t>19:29:03</t>
  </si>
  <si>
    <t>14:00:57</t>
  </si>
  <si>
    <t>01:06:14</t>
  </si>
  <si>
    <t>07:46:17</t>
  </si>
  <si>
    <t>03:53:13</t>
  </si>
  <si>
    <t>07:01:18</t>
  </si>
  <si>
    <t>03:31:58</t>
  </si>
  <si>
    <t>09:42:50</t>
  </si>
  <si>
    <t>09:34:23</t>
  </si>
  <si>
    <t>04:52:06</t>
  </si>
  <si>
    <t>06:42:40</t>
  </si>
  <si>
    <t>01:31:23</t>
  </si>
  <si>
    <t>02:58:16</t>
  </si>
  <si>
    <t>03:32:40</t>
  </si>
  <si>
    <t>16:13:49</t>
  </si>
  <si>
    <t>06:25:35</t>
  </si>
  <si>
    <t>00:24:54</t>
  </si>
  <si>
    <t>02:32:24</t>
  </si>
  <si>
    <t>06:07:50</t>
  </si>
  <si>
    <t>17:07:47</t>
  </si>
  <si>
    <t>05:55:32</t>
  </si>
  <si>
    <t>FLAT8</t>
  </si>
  <si>
    <t>Estimated_Days_to_Deliver</t>
  </si>
  <si>
    <t>Customer KPIs</t>
  </si>
  <si>
    <t>Product KPIs</t>
  </si>
  <si>
    <t>Sales KPI</t>
  </si>
  <si>
    <t>Order and Delivery KPIs</t>
  </si>
  <si>
    <t>1) Represent top 10 customers with highest Total Sales after Discount on a bar chart</t>
  </si>
  <si>
    <t>3) Represent city wise total orders on a Funnel Chart</t>
  </si>
  <si>
    <t>4) Represent  city wise total sales amount after discount</t>
  </si>
  <si>
    <t>5) Represent top 5 and bottom 5 products with highest and lowest sales respectively</t>
  </si>
  <si>
    <t>6) Represent Count of all Disocunt Coupon used on a Pie Chart</t>
  </si>
  <si>
    <t>2) Represent the count of different products ordered and its percentage on a donut chart</t>
  </si>
  <si>
    <t>where FLAT8, FLAT10, FLAT15, FLAT20 represent 8,10,15 and 20% discount on Amount, and DEL0 represents 0 delivery Charge_applied</t>
  </si>
  <si>
    <t>a) Find total unique customers</t>
  </si>
  <si>
    <t>b) Customer with most orders</t>
  </si>
  <si>
    <t>c) Customer with highest total order amount</t>
  </si>
  <si>
    <t>d) Average Customer Age</t>
  </si>
  <si>
    <t>a) Total Orders placed</t>
  </si>
  <si>
    <t>b) Average Days to Deliver</t>
  </si>
  <si>
    <t>c) Total orders with 0 Delivery Charge</t>
  </si>
  <si>
    <t>a) Find total unique products</t>
  </si>
  <si>
    <t>b) Most ordered product</t>
  </si>
  <si>
    <t>c) Product which generated highest revenue</t>
  </si>
  <si>
    <t>a) Sum Total Sales generated</t>
  </si>
  <si>
    <t>c) Total Sales after Discount</t>
  </si>
  <si>
    <t>b) Sum Total Discount offered</t>
  </si>
  <si>
    <t>d) Avg Sales(exclduing discount)</t>
  </si>
  <si>
    <t>Q2) Create a new column, Days to deliver and fill it with number of days it took for delivery</t>
  </si>
  <si>
    <t>Q3) Create a new Amount by using Price and Quantity</t>
  </si>
  <si>
    <t>Q4) Create a new column for Amount_with_Del_Chrg considering Delivery Charge as well</t>
  </si>
  <si>
    <t>Q5) Create a new column Discount_Percent and use Coupon_Code to generate it</t>
  </si>
  <si>
    <t>Q6) Compute final amount by using Amount_with_Del_Chrg and Discount_Percent</t>
  </si>
  <si>
    <t>Q8) Create a new column - IsLateDelivery, and populate it with values - Late, Intime, BeforeTime based on actual difference between order_Date and Delivery_Date</t>
  </si>
  <si>
    <t>1) Compute the following KPIs</t>
  </si>
  <si>
    <t>Q7) Create new columns - Full_Name by concatenating First_Name and Last_Name.</t>
  </si>
  <si>
    <t>Visual Analysis - Charts to be generated</t>
  </si>
  <si>
    <t>7) Represent Month and Gender wise total Sales in a pivot table and also in a clustered bar chart</t>
  </si>
  <si>
    <t>9) Represent Year and month wise total sales and total discount on a line chart</t>
  </si>
  <si>
    <t>10) Extract email from domain and represent its count on a bar chart</t>
  </si>
  <si>
    <t>8) Find Count of Late, Intime and BeforeTime Deliveries on a Pie chart</t>
  </si>
  <si>
    <t>Days_to_Deliver</t>
  </si>
  <si>
    <t>Amount</t>
  </si>
  <si>
    <t>Amount_with_Del_Chrg</t>
  </si>
  <si>
    <t>Discount_Percent</t>
  </si>
  <si>
    <t>Discount_Amount</t>
  </si>
  <si>
    <t>Final_Amount</t>
  </si>
  <si>
    <t>Full_Name</t>
  </si>
  <si>
    <t>IslateDelivery</t>
  </si>
  <si>
    <t>Month</t>
  </si>
  <si>
    <t>Year</t>
  </si>
  <si>
    <t>Email_Domain</t>
  </si>
  <si>
    <t>1.Total Unique Customer</t>
  </si>
  <si>
    <t>Row Labels</t>
  </si>
  <si>
    <t>Grand Total</t>
  </si>
  <si>
    <t>Sum of Final_Amount</t>
  </si>
  <si>
    <t>Count of Order_ID</t>
  </si>
  <si>
    <t>Count of Coupon_Code</t>
  </si>
  <si>
    <t>Jan</t>
  </si>
  <si>
    <t>Feb</t>
  </si>
  <si>
    <t>Mar</t>
  </si>
  <si>
    <t>Apr</t>
  </si>
  <si>
    <t>May</t>
  </si>
  <si>
    <t>Jun</t>
  </si>
  <si>
    <t>Jul</t>
  </si>
  <si>
    <t>Aug</t>
  </si>
  <si>
    <t>Sep</t>
  </si>
  <si>
    <t>Oct</t>
  </si>
  <si>
    <t>Nov</t>
  </si>
  <si>
    <t>Dec</t>
  </si>
  <si>
    <t>Before Time</t>
  </si>
  <si>
    <t>In Time</t>
  </si>
  <si>
    <t>Late</t>
  </si>
  <si>
    <t>Count of IslateDelivery</t>
  </si>
  <si>
    <t>Sum of Discount_Amount</t>
  </si>
  <si>
    <t>gmail.com</t>
  </si>
  <si>
    <t>outlook.com</t>
  </si>
  <si>
    <t>rediffmail.com</t>
  </si>
  <si>
    <t>yahoo.com</t>
  </si>
  <si>
    <t>Count of Email_Domain</t>
  </si>
  <si>
    <t>2.Customer with more orders</t>
  </si>
  <si>
    <t>3. Customer with highest total order amount</t>
  </si>
  <si>
    <t>Sum of Amount</t>
  </si>
  <si>
    <t>4.Average Customer Age</t>
  </si>
  <si>
    <t>AVG DELIVERY</t>
  </si>
  <si>
    <t>MOST ORDERED</t>
  </si>
  <si>
    <t>AVG CUSTOMER AGE</t>
  </si>
  <si>
    <t>TOTAL DISCOUNT OFFERED</t>
  </si>
  <si>
    <t>Sum of Quantity</t>
  </si>
  <si>
    <t>Bottom 5 Sales</t>
  </si>
  <si>
    <t>Top 5 Sales</t>
  </si>
  <si>
    <t>2023</t>
  </si>
  <si>
    <t>2024</t>
  </si>
  <si>
    <t>2025</t>
  </si>
  <si>
    <t>Column Labels</t>
  </si>
  <si>
    <t xml:space="preserve">TOTAL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</si>
</sst>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11" x14ac:knownFonts="1">
    <font>
      <sz val="11"/>
      <color theme="1"/>
      <name val="Calibri"/>
      <family val="2"/>
      <scheme val="minor"/>
    </font>
    <font>
      <b/>
      <sz val="11"/>
      <color theme="1"/>
      <name val="Calibri"/>
      <family val="2"/>
      <scheme val="minor"/>
    </font>
    <font>
      <b/>
      <sz val="11"/>
      <color theme="1"/>
      <name val="Arial Black"/>
      <family val="2"/>
    </font>
    <font>
      <b/>
      <sz val="12"/>
      <color theme="1"/>
      <name val="Cambria"/>
      <family val="1"/>
      <scheme val="major"/>
    </font>
    <font>
      <b/>
      <sz val="12"/>
      <color theme="1"/>
      <name val="Calibri"/>
      <family val="2"/>
      <scheme val="minor"/>
    </font>
    <font>
      <sz val="12"/>
      <color theme="1"/>
      <name val="Cambria"/>
      <family val="1"/>
      <scheme val="major"/>
    </font>
    <font>
      <b/>
      <sz val="18"/>
      <color theme="3"/>
      <name val="Cambria"/>
      <family val="1"/>
      <scheme val="major"/>
    </font>
    <font>
      <b/>
      <sz val="20"/>
      <color theme="3"/>
      <name val="Cambria"/>
      <family val="1"/>
      <scheme val="major"/>
    </font>
    <font>
      <b/>
      <sz val="14"/>
      <color theme="1"/>
      <name val="Arial Black"/>
      <family val="2"/>
    </font>
    <font>
      <sz val="16"/>
      <color theme="1"/>
      <name val="Arial Black"/>
      <family val="2"/>
    </font>
    <font>
      <sz val="14"/>
      <color theme="1"/>
      <name val="Arial Black"/>
      <family val="2"/>
    </font>
  </fonts>
  <fills count="7">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rgb="FFA8E17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5">
    <xf numFmtId="0" fontId="0" fillId="0" borderId="0" xfId="0"/>
    <xf numFmtId="164" fontId="0" fillId="0" borderId="0" xfId="0" applyNumberFormat="1"/>
    <xf numFmtId="0" fontId="0" fillId="2" borderId="0" xfId="0" applyFill="1" applyAlignment="1">
      <alignment horizontal="left"/>
    </xf>
    <xf numFmtId="0" fontId="1" fillId="2" borderId="0" xfId="0" applyFont="1" applyFill="1" applyAlignment="1">
      <alignment horizontal="left"/>
    </xf>
    <xf numFmtId="0" fontId="1" fillId="4" borderId="1" xfId="0" applyFont="1" applyFill="1" applyBorder="1" applyAlignment="1">
      <alignment horizontal="center" vertical="top"/>
    </xf>
    <xf numFmtId="0" fontId="1" fillId="0" borderId="0" xfId="0" applyFont="1"/>
    <xf numFmtId="0" fontId="0" fillId="3" borderId="0" xfId="0" applyFill="1" applyAlignment="1">
      <alignment horizontal="left"/>
    </xf>
    <xf numFmtId="0" fontId="0" fillId="3" borderId="0" xfId="0" applyFill="1"/>
    <xf numFmtId="0" fontId="1" fillId="4" borderId="2" xfId="0" applyFont="1" applyFill="1" applyBorder="1" applyAlignment="1">
      <alignment horizontal="center" vertical="top"/>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 fillId="5" borderId="0" xfId="0" applyFont="1" applyFill="1" applyAlignment="1">
      <alignment horizontal="left"/>
    </xf>
    <xf numFmtId="0" fontId="3" fillId="0" borderId="0" xfId="0" applyFont="1"/>
    <xf numFmtId="0" fontId="4" fillId="0" borderId="0" xfId="0" applyFont="1"/>
    <xf numFmtId="0" fontId="0" fillId="5" borderId="0" xfId="0" applyFill="1" applyAlignment="1">
      <alignment horizontal="left"/>
    </xf>
    <xf numFmtId="0" fontId="1" fillId="5" borderId="0" xfId="0" applyFont="1" applyFill="1"/>
    <xf numFmtId="0" fontId="5" fillId="6" borderId="0" xfId="0" applyFont="1" applyFill="1" applyAlignment="1">
      <alignment vertical="center"/>
    </xf>
    <xf numFmtId="0" fontId="0" fillId="6" borderId="0" xfId="0" applyFill="1"/>
    <xf numFmtId="0" fontId="7" fillId="6" borderId="0" xfId="0" applyFont="1" applyFill="1" applyAlignment="1">
      <alignment horizontal="center" vertical="center"/>
    </xf>
    <xf numFmtId="0" fontId="6" fillId="6" borderId="0" xfId="0" applyFont="1" applyFill="1" applyAlignment="1">
      <alignment horizontal="center" vertical="center"/>
    </xf>
    <xf numFmtId="165" fontId="8" fillId="6" borderId="0" xfId="0" applyNumberFormat="1" applyFont="1" applyFill="1" applyAlignment="1">
      <alignment horizontal="center"/>
    </xf>
    <xf numFmtId="2" fontId="10" fillId="6" borderId="0" xfId="0" applyNumberFormat="1" applyFont="1" applyFill="1" applyAlignment="1">
      <alignment horizontal="center"/>
    </xf>
    <xf numFmtId="0" fontId="9" fillId="6" borderId="0" xfId="0" applyFont="1" applyFill="1" applyAlignment="1">
      <alignment horizontal="center"/>
    </xf>
    <xf numFmtId="0" fontId="10" fillId="6" borderId="0" xfId="0" applyFont="1" applyFill="1" applyAlignment="1">
      <alignment horizontal="center"/>
    </xf>
    <xf numFmtId="0" fontId="1" fillId="2" borderId="0" xfId="0" applyFont="1" applyFill="1" applyAlignment="1">
      <alignment horizontal="left"/>
    </xf>
    <xf numFmtId="0" fontId="0" fillId="3" borderId="0" xfId="0" applyFill="1" applyAlignment="1">
      <alignment horizontal="left"/>
    </xf>
    <xf numFmtId="0" fontId="0" fillId="3" borderId="0" xfId="0" applyFill="1"/>
    <xf numFmtId="0" fontId="0" fillId="3" borderId="0" xfId="0" applyFill="1" applyAlignment="1">
      <alignment horizontal="left" wrapText="1"/>
    </xf>
    <xf numFmtId="0" fontId="2" fillId="5" borderId="0" xfId="0" applyFont="1" applyFill="1" applyAlignment="1">
      <alignment horizontal="center"/>
    </xf>
    <xf numFmtId="0" fontId="3" fillId="0" borderId="0" xfId="0" applyFont="1" applyAlignment="1">
      <alignment horizontal="center"/>
    </xf>
    <xf numFmtId="0" fontId="4" fillId="0" borderId="0" xfId="0" applyFont="1" applyAlignment="1">
      <alignment horizontal="center"/>
    </xf>
    <xf numFmtId="0" fontId="1" fillId="5" borderId="0" xfId="0" applyFont="1" applyFill="1"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colors>
    <mruColors>
      <color rgb="FFA8E179"/>
      <color rgb="FF83D53F"/>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[Anushi Excel Project.xlsx]VISUAL QUES ANSWER!PivotTable13</c:name>
    <c:fmtId val="4"/>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600" b="1"/>
              <a:t>CITY WISE TOTAL SALES AFTER DISCOUNT</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'VISUAL QUES ANSWER'!$B$35</c:f>
              <c:strCache>
                <c:ptCount val="1"/>
                <c:pt idx="0">
                  <c:v>Total</c:v>
                </c:pt>
              </c:strCache>
            </c:strRef>
          </c:tx>
          <c:spPr>
            <a:solidFill>
              <a:srgbClr val="92D050"/>
            </a:solidFill>
            <a:ln>
              <a:noFill/>
            </a:ln>
            <a:effectLst/>
          </c:spPr>
          <c:invertIfNegative val="0"/>
          <c:cat>
            <c:strRef>
              <c:f>'VISUAL QUES ANSWER'!$A$36:$A$44</c:f>
              <c:strCache>
                <c:ptCount val="8"/>
                <c:pt idx="0">
                  <c:v>Houston</c:v>
                </c:pt>
                <c:pt idx="1">
                  <c:v>San Francisco</c:v>
                </c:pt>
                <c:pt idx="2">
                  <c:v>Los Angeles</c:v>
                </c:pt>
                <c:pt idx="3">
                  <c:v>Dallas</c:v>
                </c:pt>
                <c:pt idx="4">
                  <c:v>Phoenix</c:v>
                </c:pt>
                <c:pt idx="5">
                  <c:v>New York</c:v>
                </c:pt>
                <c:pt idx="6">
                  <c:v>Chicago</c:v>
                </c:pt>
                <c:pt idx="7">
                  <c:v>Miami</c:v>
                </c:pt>
              </c:strCache>
            </c:strRef>
          </c:cat>
          <c:val>
            <c:numRef>
              <c:f>'VISUAL QUES ANSWER'!$B$36:$B$44</c:f>
              <c:numCache>
                <c:formatCode>General</c:formatCode>
                <c:ptCount val="8"/>
                <c:pt idx="0">
                  <c:v>60581.070399999982</c:v>
                </c:pt>
                <c:pt idx="1">
                  <c:v>50133.830799999989</c:v>
                </c:pt>
                <c:pt idx="2">
                  <c:v>48033.855899999995</c:v>
                </c:pt>
                <c:pt idx="3">
                  <c:v>46488.286999999989</c:v>
                </c:pt>
                <c:pt idx="4">
                  <c:v>45879.245800000004</c:v>
                </c:pt>
                <c:pt idx="5">
                  <c:v>40048.267499999994</c:v>
                </c:pt>
                <c:pt idx="6">
                  <c:v>33544.926999999996</c:v>
                </c:pt>
                <c:pt idx="7">
                  <c:v>25015.095299999997</c:v>
                </c:pt>
              </c:numCache>
            </c:numRef>
          </c:val>
          <c:extLst>
            <c:ext xmlns:c16="http://schemas.microsoft.com/office/drawing/2014/chart" uri="{C3380CC4-5D6E-409C-BE32-E72D297353CC}">
              <c16:uniqueId val="{00000003-3662-4118-97BE-4D2787317A10}"/>
            </c:ext>
          </c:extLst>
        </c:ser>
        <c:dLbls>
          <c:showLegendKey val="0"/>
          <c:showVal val="0"/>
          <c:showCatName val="0"/>
          <c:showSerName val="0"/>
          <c:showPercent val="0"/>
          <c:showBubbleSize val="0"/>
        </c:dLbls>
        <c:gapWidth val="80"/>
        <c:overlap val="25"/>
        <c:axId val="288927487"/>
        <c:axId val="288917407"/>
      </c:barChart>
      <c:catAx>
        <c:axId val="288927487"/>
        <c:scaling>
          <c:orientation val="minMax"/>
        </c:scaling>
        <c:delete val="0"/>
        <c:axPos val="b"/>
        <c:numFmt formatCode="General" sourceLinked="1"/>
        <c:majorTickMark val="none"/>
        <c:minorTickMark val="none"/>
        <c:tickLblPos val="nextTo"/>
        <c:spPr>
          <a:noFill/>
          <a:ln w="15875" cap="flat" cmpd="sng" algn="ctr">
            <a:no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88917407"/>
        <c:crosses val="autoZero"/>
        <c:auto val="1"/>
        <c:lblAlgn val="ctr"/>
        <c:lblOffset val="100"/>
        <c:noMultiLvlLbl val="0"/>
      </c:catAx>
      <c:valAx>
        <c:axId val="28891740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288927487"/>
        <c:crosses val="autoZero"/>
        <c:crossBetween val="between"/>
      </c:valAx>
      <c:spPr>
        <a:noFill/>
        <a:ln>
          <a:noFill/>
        </a:ln>
        <a:effectLst/>
      </c:spPr>
    </c:plotArea>
    <c:plotVisOnly val="1"/>
    <c:dispBlanksAs val="gap"/>
    <c:showDLblsOverMax val="0"/>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[Anushi Excel Project.xlsx]VISUAL QUES ANSWER!PivotTable21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SALES VS DISCOUNT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10149388014956E-2"/>
          <c:y val="0.12324712657232609"/>
          <c:w val="0.92750725433156722"/>
          <c:h val="0.75096281580892277"/>
        </c:manualLayout>
      </c:layout>
      <c:lineChart>
        <c:grouping val="standard"/>
        <c:varyColors val="0"/>
        <c:ser>
          <c:idx val="2"/>
          <c:order val="0"/>
          <c:tx>
            <c:strRef>
              <c:f>'VISUAL QUES ANSWER'!$S$17</c:f>
              <c:strCache>
                <c:ptCount val="1"/>
                <c:pt idx="0">
                  <c:v>Sum of Final_Amount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'VISUAL QUES ANSWER'!$R$18:$R$46</c:f>
              <c:multiLvlStrCache>
                <c:ptCount val="25"/>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lvl>
                <c:lvl>
                  <c:pt idx="0">
                    <c:v>2023</c:v>
                  </c:pt>
                  <c:pt idx="11">
                    <c:v>2024</c:v>
                  </c:pt>
                  <c:pt idx="23">
                    <c:v>2025</c:v>
                  </c:pt>
                </c:lvl>
              </c:multiLvlStrCache>
            </c:multiLvlStrRef>
          </c:cat>
          <c:val>
            <c:numRef>
              <c:f>'VISUAL QUES ANSWER'!$S$18:$S$46</c:f>
              <c:numCache>
                <c:formatCode>General</c:formatCode>
                <c:ptCount val="25"/>
                <c:pt idx="0">
                  <c:v>8961.5453999999991</c:v>
                </c:pt>
                <c:pt idx="1">
                  <c:v>11944.3536</c:v>
                </c:pt>
                <c:pt idx="2">
                  <c:v>14874.2255</c:v>
                </c:pt>
                <c:pt idx="3">
                  <c:v>9597.7083999999977</c:v>
                </c:pt>
                <c:pt idx="4">
                  <c:v>14390.601199999999</c:v>
                </c:pt>
                <c:pt idx="5">
                  <c:v>20925.915799999999</c:v>
                </c:pt>
                <c:pt idx="6">
                  <c:v>10232.4611</c:v>
                </c:pt>
                <c:pt idx="7">
                  <c:v>13665.489900000002</c:v>
                </c:pt>
                <c:pt idx="8">
                  <c:v>11586.179400000001</c:v>
                </c:pt>
                <c:pt idx="9">
                  <c:v>13751.000399999999</c:v>
                </c:pt>
                <c:pt idx="10">
                  <c:v>11319.312599999999</c:v>
                </c:pt>
                <c:pt idx="11">
                  <c:v>11702.541099999999</c:v>
                </c:pt>
                <c:pt idx="12">
                  <c:v>15007.427000000001</c:v>
                </c:pt>
                <c:pt idx="13">
                  <c:v>15287.517899999999</c:v>
                </c:pt>
                <c:pt idx="14">
                  <c:v>23868.980899999995</c:v>
                </c:pt>
                <c:pt idx="15">
                  <c:v>13409.906399999996</c:v>
                </c:pt>
                <c:pt idx="16">
                  <c:v>17365.457699999995</c:v>
                </c:pt>
                <c:pt idx="17">
                  <c:v>18033.6204</c:v>
                </c:pt>
                <c:pt idx="18">
                  <c:v>17713.804900000003</c:v>
                </c:pt>
                <c:pt idx="19">
                  <c:v>12420.596700000002</c:v>
                </c:pt>
                <c:pt idx="20">
                  <c:v>14773.9252</c:v>
                </c:pt>
                <c:pt idx="21">
                  <c:v>13150.908800000003</c:v>
                </c:pt>
                <c:pt idx="22">
                  <c:v>14574.4344</c:v>
                </c:pt>
                <c:pt idx="23">
                  <c:v>19651.373</c:v>
                </c:pt>
                <c:pt idx="24">
                  <c:v>1515.2920000000001</c:v>
                </c:pt>
              </c:numCache>
            </c:numRef>
          </c:val>
          <c:smooth val="0"/>
          <c:extLst>
            <c:ext xmlns:c16="http://schemas.microsoft.com/office/drawing/2014/chart" uri="{C3380CC4-5D6E-409C-BE32-E72D297353CC}">
              <c16:uniqueId val="{00000006-1E72-4B5E-A155-8C3F15EBDF2C}"/>
            </c:ext>
          </c:extLst>
        </c:ser>
        <c:ser>
          <c:idx val="3"/>
          <c:order val="1"/>
          <c:tx>
            <c:strRef>
              <c:f>'VISUAL QUES ANSWER'!$T$17</c:f>
              <c:strCache>
                <c:ptCount val="1"/>
                <c:pt idx="0">
                  <c:v>Sum of Discount_Amount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'VISUAL QUES ANSWER'!$R$18:$R$46</c:f>
              <c:multiLvlStrCache>
                <c:ptCount val="25"/>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lvl>
                <c:lvl>
                  <c:pt idx="0">
                    <c:v>2023</c:v>
                  </c:pt>
                  <c:pt idx="11">
                    <c:v>2024</c:v>
                  </c:pt>
                  <c:pt idx="23">
                    <c:v>2025</c:v>
                  </c:pt>
                </c:lvl>
              </c:multiLvlStrCache>
            </c:multiLvlStrRef>
          </c:cat>
          <c:val>
            <c:numRef>
              <c:f>'VISUAL QUES ANSWER'!$T$18:$T$46</c:f>
              <c:numCache>
                <c:formatCode>General</c:formatCode>
                <c:ptCount val="25"/>
                <c:pt idx="0">
                  <c:v>1228.4846</c:v>
                </c:pt>
                <c:pt idx="1">
                  <c:v>1349.8364000000001</c:v>
                </c:pt>
                <c:pt idx="2">
                  <c:v>2099.6245000000004</c:v>
                </c:pt>
                <c:pt idx="3">
                  <c:v>1092.9616000000001</c:v>
                </c:pt>
                <c:pt idx="4">
                  <c:v>1453.1388000000002</c:v>
                </c:pt>
                <c:pt idx="5">
                  <c:v>2492.1741999999999</c:v>
                </c:pt>
                <c:pt idx="6">
                  <c:v>1310.9689000000001</c:v>
                </c:pt>
                <c:pt idx="7">
                  <c:v>1845.6800999999996</c:v>
                </c:pt>
                <c:pt idx="8">
                  <c:v>1209.3605999999997</c:v>
                </c:pt>
                <c:pt idx="9">
                  <c:v>1099.2896000000001</c:v>
                </c:pt>
                <c:pt idx="10">
                  <c:v>1478.9574</c:v>
                </c:pt>
                <c:pt idx="11">
                  <c:v>1524.0388999999998</c:v>
                </c:pt>
                <c:pt idx="12">
                  <c:v>1305.0329999999999</c:v>
                </c:pt>
                <c:pt idx="13">
                  <c:v>1535.3621000000005</c:v>
                </c:pt>
                <c:pt idx="14">
                  <c:v>2503.1090999999997</c:v>
                </c:pt>
                <c:pt idx="15">
                  <c:v>1166.3236000000002</c:v>
                </c:pt>
                <c:pt idx="16">
                  <c:v>1926.8422999999998</c:v>
                </c:pt>
                <c:pt idx="17">
                  <c:v>1417.5396000000003</c:v>
                </c:pt>
                <c:pt idx="18">
                  <c:v>2241.5050999999999</c:v>
                </c:pt>
                <c:pt idx="19">
                  <c:v>2203.4632999999999</c:v>
                </c:pt>
                <c:pt idx="20">
                  <c:v>1822.4348</c:v>
                </c:pt>
                <c:pt idx="21">
                  <c:v>1289.2712000000001</c:v>
                </c:pt>
                <c:pt idx="22">
                  <c:v>1712.6556</c:v>
                </c:pt>
                <c:pt idx="23">
                  <c:v>3057.1069999999995</c:v>
                </c:pt>
                <c:pt idx="24">
                  <c:v>322.74800000000005</c:v>
                </c:pt>
              </c:numCache>
            </c:numRef>
          </c:val>
          <c:smooth val="0"/>
          <c:extLst>
            <c:ext xmlns:c16="http://schemas.microsoft.com/office/drawing/2014/chart" uri="{C3380CC4-5D6E-409C-BE32-E72D297353CC}">
              <c16:uniqueId val="{00000007-1E72-4B5E-A155-8C3F15EBDF2C}"/>
            </c:ext>
          </c:extLst>
        </c:ser>
        <c:dLbls>
          <c:showLegendKey val="0"/>
          <c:showVal val="0"/>
          <c:showCatName val="0"/>
          <c:showSerName val="0"/>
          <c:showPercent val="0"/>
          <c:showBubbleSize val="0"/>
        </c:dLbls>
        <c:marker val="1"/>
        <c:smooth val="0"/>
        <c:axId val="246221167"/>
        <c:axId val="246240847"/>
      </c:lineChart>
      <c:catAx>
        <c:axId val="2462211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40847"/>
        <c:crosses val="autoZero"/>
        <c:auto val="1"/>
        <c:lblAlgn val="ctr"/>
        <c:lblOffset val="100"/>
        <c:noMultiLvlLbl val="0"/>
      </c:catAx>
      <c:valAx>
        <c:axId val="246240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21167"/>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[Anushi Excel Project.xlsx]VISUAL QUES ANSWER!PivotTable16</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top</a:t>
            </a:r>
            <a:r>
              <a:rPr lang="en-US" baseline="0"/>
              <a:t> products</a:t>
            </a:r>
            <a:endParaRPr lang="en-US"/>
          </a:p>
        </c:rich>
      </c:tx>
      <c:overlay val="0"/>
      <c:spPr>
        <a:noFill/>
        <a:ln>
          <a:noFill/>
        </a:ln>
        <a:effectLst/>
      </c:sp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3875000000000001"/>
                </c:manualLayout>
              </c15:layout>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425959952700965"/>
                  <c:h val="0.14800925925925923"/>
                </c:manualLayout>
              </c15:layout>
            </c:ext>
          </c:extLst>
        </c:dLbl>
      </c:pivotFmt>
      <c:pivotFmt>
        <c:idx val="3"/>
        <c:spPr>
          <a:solidFill>
            <a:schemeClr val="accent5"/>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3875000000000001"/>
                </c:manualLayout>
              </c15:layout>
            </c:ext>
          </c:extLst>
        </c:dLbl>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4800925925925923"/>
                </c:manualLayout>
              </c15:layout>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425959952700965"/>
                  <c:h val="0.14800925925925923"/>
                </c:manualLayout>
              </c15:layout>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3875000000000001"/>
                </c:manualLayout>
              </c15:layout>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4800925925925923"/>
                </c:manualLayout>
              </c15:layout>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3875000000000001"/>
                </c:manualLayout>
              </c15:layout>
            </c:ext>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425959952700965"/>
                  <c:h val="0.14800925925925923"/>
                </c:manualLayout>
              </c15:layout>
            </c:ext>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3875000000000001"/>
                </c:manualLayout>
              </c15:layout>
            </c:ext>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4800925925925923"/>
                </c:manualLayout>
              </c15:layout>
            </c:ext>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3875000000000001"/>
                </c:manualLayout>
              </c15:layout>
            </c:ext>
          </c:extLst>
        </c:dLbl>
      </c:pivotFmt>
      <c:pivotFmt>
        <c:idx val="1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5899174420500493"/>
                  <c:h val="0.18547045061139972"/>
                </c:manualLayout>
              </c15:layout>
            </c:ext>
          </c:extLst>
        </c:dLbl>
      </c:pivotFmt>
      <c:pivotFmt>
        <c:idx val="19"/>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594489511728942"/>
                  <c:h val="0.21367256230387546"/>
                </c:manualLayout>
              </c15:layout>
            </c:ext>
          </c:extLst>
        </c:dLbl>
      </c:pivotFmt>
      <c:pivotFmt>
        <c:idx val="20"/>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4127743321701837"/>
                  <c:h val="0.19083613476684913"/>
                </c:manualLayout>
              </c15:layout>
            </c:ext>
          </c:extLst>
        </c:dLbl>
      </c:pivotFmt>
      <c:pivotFmt>
        <c:idx val="21"/>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4130491764416695"/>
                  <c:h val="0.24060537261622481"/>
                </c:manualLayout>
              </c15:layout>
            </c:ext>
          </c:extLst>
        </c:dLbl>
      </c:pivotFmt>
      <c:pivotFmt>
        <c:idx val="22"/>
        <c:spPr>
          <a:solidFill>
            <a:schemeClr val="accent5"/>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14083204957177"/>
                  <c:h val="0.19494194738417867"/>
                </c:manualLayout>
              </c15:layout>
            </c:ext>
          </c:extLst>
        </c:dLbl>
      </c:pivotFmt>
    </c:pivotFmts>
    <c:plotArea>
      <c:layout>
        <c:manualLayout>
          <c:layoutTarget val="inner"/>
          <c:xMode val="edge"/>
          <c:yMode val="edge"/>
          <c:x val="0.11597274785802444"/>
          <c:y val="0.13075584997484815"/>
          <c:w val="0.77677315324338103"/>
          <c:h val="0.85595664388995285"/>
        </c:manualLayout>
      </c:layout>
      <c:doughnutChart>
        <c:varyColors val="1"/>
        <c:ser>
          <c:idx val="0"/>
          <c:order val="0"/>
          <c:tx>
            <c:strRef>
              <c:f>'VISUAL QUES ANSWER'!$B$12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12C0-4D4A-8716-43A4F0C1A7C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12C0-4D4A-8716-43A4F0C1A7C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12C0-4D4A-8716-43A4F0C1A7C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12C0-4D4A-8716-43A4F0C1A7C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6-12C0-4D4A-8716-43A4F0C1A7CF}"/>
              </c:ext>
            </c:extLst>
          </c:dPt>
          <c:dLbls>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5899174420500493"/>
                      <c:h val="0.18547045061139972"/>
                    </c:manualLayout>
                  </c15:layout>
                </c:ext>
                <c:ext xmlns:c16="http://schemas.microsoft.com/office/drawing/2014/chart" uri="{C3380CC4-5D6E-409C-BE32-E72D297353CC}">
                  <c16:uniqueId val="{0000000E-12C0-4D4A-8716-43A4F0C1A7CF}"/>
                </c:ext>
              </c:extLst>
            </c:dLbl>
            <c:dLbl>
              <c:idx val="1"/>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594489511728942"/>
                      <c:h val="0.21367256230387546"/>
                    </c:manualLayout>
                  </c15:layout>
                </c:ext>
                <c:ext xmlns:c16="http://schemas.microsoft.com/office/drawing/2014/chart" uri="{C3380CC4-5D6E-409C-BE32-E72D297353CC}">
                  <c16:uniqueId val="{00000010-12C0-4D4A-8716-43A4F0C1A7CF}"/>
                </c:ext>
              </c:extLst>
            </c:dLbl>
            <c:dLbl>
              <c:idx val="2"/>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4127743321701837"/>
                      <c:h val="0.19083613476684913"/>
                    </c:manualLayout>
                  </c15:layout>
                </c:ext>
                <c:ext xmlns:c16="http://schemas.microsoft.com/office/drawing/2014/chart" uri="{C3380CC4-5D6E-409C-BE32-E72D297353CC}">
                  <c16:uniqueId val="{00000012-12C0-4D4A-8716-43A4F0C1A7CF}"/>
                </c:ext>
              </c:extLst>
            </c:dLbl>
            <c:dLbl>
              <c:idx val="3"/>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4130491764416695"/>
                      <c:h val="0.24060537261622481"/>
                    </c:manualLayout>
                  </c15:layout>
                </c:ext>
                <c:ext xmlns:c16="http://schemas.microsoft.com/office/drawing/2014/chart" uri="{C3380CC4-5D6E-409C-BE32-E72D297353CC}">
                  <c16:uniqueId val="{00000014-12C0-4D4A-8716-43A4F0C1A7CF}"/>
                </c:ext>
              </c:extLst>
            </c:dLbl>
            <c:dLbl>
              <c:idx val="4"/>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14083204957177"/>
                      <c:h val="0.19494194738417867"/>
                    </c:manualLayout>
                  </c15:layout>
                </c:ext>
                <c:ext xmlns:c16="http://schemas.microsoft.com/office/drawing/2014/chart" uri="{C3380CC4-5D6E-409C-BE32-E72D297353CC}">
                  <c16:uniqueId val="{00000016-12C0-4D4A-8716-43A4F0C1A7C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 QUES ANSWER'!$A$13:$A$18</c:f>
              <c:strCache>
                <c:ptCount val="5"/>
                <c:pt idx="0">
                  <c:v>PID002</c:v>
                </c:pt>
                <c:pt idx="1">
                  <c:v>PID036</c:v>
                </c:pt>
                <c:pt idx="2">
                  <c:v>PID046</c:v>
                </c:pt>
                <c:pt idx="3">
                  <c:v>PID018</c:v>
                </c:pt>
                <c:pt idx="4">
                  <c:v>PID027</c:v>
                </c:pt>
              </c:strCache>
            </c:strRef>
          </c:cat>
          <c:val>
            <c:numRef>
              <c:f>'VISUAL QUES ANSWER'!$B$13:$B$18</c:f>
              <c:numCache>
                <c:formatCode>General</c:formatCode>
                <c:ptCount val="5"/>
                <c:pt idx="0">
                  <c:v>51</c:v>
                </c:pt>
                <c:pt idx="1">
                  <c:v>48</c:v>
                </c:pt>
                <c:pt idx="2">
                  <c:v>48</c:v>
                </c:pt>
                <c:pt idx="3">
                  <c:v>44</c:v>
                </c:pt>
                <c:pt idx="4">
                  <c:v>42</c:v>
                </c:pt>
              </c:numCache>
            </c:numRef>
          </c:val>
          <c:extLst>
            <c:ext xmlns:c16="http://schemas.microsoft.com/office/drawing/2014/chart" uri="{C3380CC4-5D6E-409C-BE32-E72D297353CC}">
              <c16:uniqueId val="{00000017-12C0-4D4A-8716-43A4F0C1A7CF}"/>
            </c:ext>
          </c:extLst>
        </c:ser>
        <c:dLbls>
          <c:showLegendKey val="0"/>
          <c:showVal val="0"/>
          <c:showCatName val="0"/>
          <c:showSerName val="0"/>
          <c:showPercent val="1"/>
          <c:showBubbleSize val="0"/>
          <c:showLeaderLines val="1"/>
        </c:dLbls>
        <c:firstSliceAng val="0"/>
        <c:holeSize val="50"/>
      </c:doughnutChart>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[Anushi Excel Project.xlsx]VISUAL QUES ANSWER!PivotTable11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Customers</a:t>
            </a:r>
            <a:r>
              <a:rPr lang="en-US" sz="1600" b="1" baseline="0"/>
              <a:t> With Highest Sales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732886663599961E-2"/>
          <c:y val="0.14341129405460701"/>
          <c:w val="0.79872766582200971"/>
          <c:h val="0.81405637284750465"/>
        </c:manualLayout>
      </c:layout>
      <c:barChart>
        <c:barDir val="bar"/>
        <c:grouping val="clustered"/>
        <c:varyColors val="0"/>
        <c:ser>
          <c:idx val="0"/>
          <c:order val="0"/>
          <c:tx>
            <c:strRef>
              <c:f>'VISUAL QUES ANSWER'!$B$3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 QUES ANSWER'!$A$4:$A$9</c:f>
              <c:strCache>
                <c:ptCount val="5"/>
                <c:pt idx="0">
                  <c:v>CID174</c:v>
                </c:pt>
                <c:pt idx="1">
                  <c:v>CID114</c:v>
                </c:pt>
                <c:pt idx="2">
                  <c:v>CID162</c:v>
                </c:pt>
                <c:pt idx="3">
                  <c:v>CID165</c:v>
                </c:pt>
                <c:pt idx="4">
                  <c:v>CID102</c:v>
                </c:pt>
              </c:strCache>
            </c:strRef>
          </c:cat>
          <c:val>
            <c:numRef>
              <c:f>'VISUAL QUES ANSWER'!$B$4:$B$9</c:f>
              <c:numCache>
                <c:formatCode>General</c:formatCode>
                <c:ptCount val="5"/>
                <c:pt idx="0">
                  <c:v>13121.118899999998</c:v>
                </c:pt>
                <c:pt idx="1">
                  <c:v>8428.0982999999997</c:v>
                </c:pt>
                <c:pt idx="2">
                  <c:v>7999.8487000000005</c:v>
                </c:pt>
                <c:pt idx="3">
                  <c:v>7509.2038000000002</c:v>
                </c:pt>
                <c:pt idx="4">
                  <c:v>6873.9277999999986</c:v>
                </c:pt>
              </c:numCache>
            </c:numRef>
          </c:val>
          <c:extLst>
            <c:ext xmlns:c16="http://schemas.microsoft.com/office/drawing/2014/chart" uri="{C3380CC4-5D6E-409C-BE32-E72D297353CC}">
              <c16:uniqueId val="{00000000-F2C9-4D8C-82C9-86E75E8C5AEA}"/>
            </c:ext>
          </c:extLst>
        </c:ser>
        <c:dLbls>
          <c:showLegendKey val="0"/>
          <c:showVal val="0"/>
          <c:showCatName val="0"/>
          <c:showSerName val="0"/>
          <c:showPercent val="0"/>
          <c:showBubbleSize val="0"/>
        </c:dLbls>
        <c:gapWidth val="182"/>
        <c:axId val="288898207"/>
        <c:axId val="288884287"/>
      </c:barChart>
      <c:catAx>
        <c:axId val="2888982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884287"/>
        <c:crosses val="autoZero"/>
        <c:auto val="1"/>
        <c:lblAlgn val="ctr"/>
        <c:lblOffset val="100"/>
        <c:noMultiLvlLbl val="0"/>
      </c:catAx>
      <c:valAx>
        <c:axId val="288884287"/>
        <c:scaling>
          <c:orientation val="minMax"/>
        </c:scaling>
        <c:delete val="1"/>
        <c:axPos val="t"/>
        <c:numFmt formatCode="General" sourceLinked="1"/>
        <c:majorTickMark val="none"/>
        <c:minorTickMark val="none"/>
        <c:tickLblPos val="nextTo"/>
        <c:crossAx val="28889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[Anushi Excel Project.xlsx]VISUAL QUES ANSWER!PivotTable19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MONTHWISE</a:t>
            </a:r>
            <a:r>
              <a:rPr lang="en-IN" sz="1800" b="1" baseline="0"/>
              <a:t> SALES BASED ON GENDER</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 QUES ANSWER'!$J$28:$J$29</c:f>
              <c:strCache>
                <c:ptCount val="1"/>
                <c:pt idx="0">
                  <c:v>Female</c:v>
                </c:pt>
              </c:strCache>
            </c:strRef>
          </c:tx>
          <c:spPr>
            <a:solidFill>
              <a:schemeClr val="accent1"/>
            </a:solidFill>
            <a:ln>
              <a:noFill/>
            </a:ln>
            <a:effectLst/>
          </c:spPr>
          <c:invertIfNegative val="0"/>
          <c:cat>
            <c:strRef>
              <c:f>'VISUAL QUES ANSWER'!$I$30:$I$42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 QUES ANSWER'!$J$30:$J$42</c:f>
              <c:numCache>
                <c:formatCode>General</c:formatCode>
                <c:ptCount val="12"/>
                <c:pt idx="0">
                  <c:v>8063.8688000000002</c:v>
                </c:pt>
                <c:pt idx="1">
                  <c:v>9475.7083000000002</c:v>
                </c:pt>
                <c:pt idx="2">
                  <c:v>11343.754599999997</c:v>
                </c:pt>
                <c:pt idx="3">
                  <c:v>16267.941699999999</c:v>
                </c:pt>
                <c:pt idx="4">
                  <c:v>3690.7950000000001</c:v>
                </c:pt>
                <c:pt idx="5">
                  <c:v>10273.452499999999</c:v>
                </c:pt>
                <c:pt idx="6">
                  <c:v>8533.2343999999994</c:v>
                </c:pt>
                <c:pt idx="7">
                  <c:v>10386.376700000003</c:v>
                </c:pt>
                <c:pt idx="8">
                  <c:v>5519.7766999999994</c:v>
                </c:pt>
                <c:pt idx="9">
                  <c:v>8184.0098999999991</c:v>
                </c:pt>
                <c:pt idx="10">
                  <c:v>4007.0176000000001</c:v>
                </c:pt>
                <c:pt idx="11">
                  <c:v>5244.5115999999998</c:v>
                </c:pt>
              </c:numCache>
            </c:numRef>
          </c:val>
          <c:extLst>
            <c:ext xmlns:c16="http://schemas.microsoft.com/office/drawing/2014/chart" uri="{C3380CC4-5D6E-409C-BE32-E72D297353CC}">
              <c16:uniqueId val="{00000000-2078-4DD6-A72B-03AC33328CC6}"/>
            </c:ext>
          </c:extLst>
        </c:ser>
        <c:ser>
          <c:idx val="1"/>
          <c:order val="1"/>
          <c:tx>
            <c:strRef>
              <c:f>'VISUAL QUES ANSWER'!$K$28:$K$29</c:f>
              <c:strCache>
                <c:ptCount val="1"/>
                <c:pt idx="0">
                  <c:v>Male</c:v>
                </c:pt>
              </c:strCache>
            </c:strRef>
          </c:tx>
          <c:spPr>
            <a:solidFill>
              <a:schemeClr val="accent2"/>
            </a:solidFill>
            <a:ln>
              <a:noFill/>
            </a:ln>
            <a:effectLst/>
          </c:spPr>
          <c:invertIfNegative val="0"/>
          <c:cat>
            <c:strRef>
              <c:f>'VISUAL QUES ANSWER'!$I$30:$I$42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 QUES ANSWER'!$K$30:$K$42</c:f>
              <c:numCache>
                <c:formatCode>General</c:formatCode>
                <c:ptCount val="12"/>
                <c:pt idx="0">
                  <c:v>6486.0481</c:v>
                </c:pt>
                <c:pt idx="1">
                  <c:v>8072.4719999999998</c:v>
                </c:pt>
                <c:pt idx="2">
                  <c:v>7788.3979999999992</c:v>
                </c:pt>
                <c:pt idx="3">
                  <c:v>10276.5674</c:v>
                </c:pt>
                <c:pt idx="4">
                  <c:v>8384.8597999999984</c:v>
                </c:pt>
                <c:pt idx="5">
                  <c:v>10663.2526</c:v>
                </c:pt>
                <c:pt idx="6">
                  <c:v>14733.1371</c:v>
                </c:pt>
                <c:pt idx="7">
                  <c:v>8246.3770999999997</c:v>
                </c:pt>
                <c:pt idx="8">
                  <c:v>9926.2536999999993</c:v>
                </c:pt>
                <c:pt idx="9">
                  <c:v>9616.4244999999992</c:v>
                </c:pt>
                <c:pt idx="10">
                  <c:v>5709.5600000000013</c:v>
                </c:pt>
                <c:pt idx="11">
                  <c:v>6323.9011</c:v>
                </c:pt>
              </c:numCache>
            </c:numRef>
          </c:val>
          <c:extLst>
            <c:ext xmlns:c16="http://schemas.microsoft.com/office/drawing/2014/chart" uri="{C3380CC4-5D6E-409C-BE32-E72D297353CC}">
              <c16:uniqueId val="{00000002-E67D-44BE-A866-D85E6C854D20}"/>
            </c:ext>
          </c:extLst>
        </c:ser>
        <c:ser>
          <c:idx val="2"/>
          <c:order val="2"/>
          <c:tx>
            <c:strRef>
              <c:f>'VISUAL QUES ANSWER'!$L$28:$L$29</c:f>
              <c:strCache>
                <c:ptCount val="1"/>
                <c:pt idx="0">
                  <c:v>Other</c:v>
                </c:pt>
              </c:strCache>
            </c:strRef>
          </c:tx>
          <c:spPr>
            <a:solidFill>
              <a:schemeClr val="accent3"/>
            </a:solidFill>
            <a:ln>
              <a:noFill/>
            </a:ln>
            <a:effectLst/>
          </c:spPr>
          <c:invertIfNegative val="0"/>
          <c:cat>
            <c:strRef>
              <c:f>'VISUAL QUES ANSWER'!$I$30:$I$42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 QUES ANSWER'!$L$30:$L$42</c:f>
              <c:numCache>
                <c:formatCode>General</c:formatCode>
                <c:ptCount val="12"/>
                <c:pt idx="0">
                  <c:v>16803.997199999998</c:v>
                </c:pt>
                <c:pt idx="1">
                  <c:v>7936.0841</c:v>
                </c:pt>
                <c:pt idx="2">
                  <c:v>8099.7189000000008</c:v>
                </c:pt>
                <c:pt idx="3">
                  <c:v>12198.697300000002</c:v>
                </c:pt>
                <c:pt idx="4">
                  <c:v>10931.96</c:v>
                </c:pt>
                <c:pt idx="5">
                  <c:v>10819.353799999999</c:v>
                </c:pt>
                <c:pt idx="6">
                  <c:v>15693.164699999999</c:v>
                </c:pt>
                <c:pt idx="7">
                  <c:v>9313.512200000001</c:v>
                </c:pt>
                <c:pt idx="8">
                  <c:v>10640.056200000003</c:v>
                </c:pt>
                <c:pt idx="9">
                  <c:v>8559.6702000000005</c:v>
                </c:pt>
                <c:pt idx="10">
                  <c:v>17185.331600000005</c:v>
                </c:pt>
                <c:pt idx="11">
                  <c:v>14325.334299999997</c:v>
                </c:pt>
              </c:numCache>
            </c:numRef>
          </c:val>
          <c:extLst>
            <c:ext xmlns:c16="http://schemas.microsoft.com/office/drawing/2014/chart" uri="{C3380CC4-5D6E-409C-BE32-E72D297353CC}">
              <c16:uniqueId val="{00000003-E67D-44BE-A866-D85E6C854D20}"/>
            </c:ext>
          </c:extLst>
        </c:ser>
        <c:dLbls>
          <c:showLegendKey val="0"/>
          <c:showVal val="0"/>
          <c:showCatName val="0"/>
          <c:showSerName val="0"/>
          <c:showPercent val="0"/>
          <c:showBubbleSize val="0"/>
        </c:dLbls>
        <c:gapWidth val="219"/>
        <c:overlap val="-27"/>
        <c:axId val="288930847"/>
        <c:axId val="288936127"/>
      </c:barChart>
      <c:catAx>
        <c:axId val="2889308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36127"/>
        <c:crosses val="autoZero"/>
        <c:auto val="1"/>
        <c:lblAlgn val="ctr"/>
        <c:lblOffset val="100"/>
        <c:noMultiLvlLbl val="0"/>
      </c:catAx>
      <c:valAx>
        <c:axId val="288936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308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[Anushi Excel Project.xlsx]VISUAL QUES ANSWER!PivotTable20</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400"/>
              <a:t>TIMEWISE DELIVERIES COUNT</a:t>
            </a:r>
          </a:p>
        </c:rich>
      </c:tx>
      <c:overlay val="0"/>
      <c:spPr>
        <a:noFill/>
        <a:ln>
          <a:noFill/>
        </a:ln>
        <a:effectLst/>
      </c:sp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layout>
            <c:manualLayout>
              <c:x val="-0.1778468033022855"/>
              <c:y val="2.53419957800724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63500" sx="102000" sy="102000" algn="ctr" rotWithShape="0">
              <a:prstClr val="black">
                <a:alpha val="20000"/>
              </a:prstClr>
            </a:outerShdw>
          </a:effectLst>
        </c:spPr>
        <c:dLbl>
          <c:idx val="0"/>
          <c:layout>
            <c:manualLayout>
              <c:x val="0.16985574956679447"/>
              <c:y val="4.3741115022809515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5067511314291046"/>
                  <c:h val="0.15039798078896022"/>
                </c:manualLayout>
              </c15:layout>
            </c:ext>
          </c:extLst>
        </c:dLbl>
      </c:pivotFmt>
      <c:pivotFmt>
        <c:idx val="3"/>
        <c:spPr>
          <a:solidFill>
            <a:schemeClr val="accent2"/>
          </a:solidFill>
          <a:ln>
            <a:noFill/>
          </a:ln>
          <a:effectLst>
            <a:outerShdw blurRad="63500" sx="102000" sy="102000" algn="ctr" rotWithShape="0">
              <a:prstClr val="black">
                <a:alpha val="20000"/>
              </a:prstClr>
            </a:outerShdw>
          </a:effectLst>
        </c:spPr>
        <c:dLbl>
          <c:idx val="0"/>
          <c:layout>
            <c:manualLayout>
              <c:x val="-2.4370816157374378E-3"/>
              <c:y val="-9.700464574451420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1463347712476339"/>
                  <c:h val="0.24379825834222596"/>
                </c:manualLayout>
              </c15:layout>
            </c:ext>
          </c:extLst>
        </c:dLbl>
      </c:pivotFmt>
      <c:pivotFmt>
        <c:idx val="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layout>
            <c:manualLayout>
              <c:x val="-0.1778468033022855"/>
              <c:y val="2.53419957800724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layout>
            <c:manualLayout>
              <c:x val="-2.4370816157374378E-3"/>
              <c:y val="-9.700464574451420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1463347712476339"/>
                  <c:h val="0.24379825834222596"/>
                </c:manualLayout>
              </c15:layout>
            </c:ext>
          </c:extLst>
        </c:dLbl>
      </c:pivotFmt>
      <c:pivotFmt>
        <c:idx val="7"/>
        <c:spPr>
          <a:solidFill>
            <a:schemeClr val="accent1"/>
          </a:solidFill>
          <a:ln>
            <a:noFill/>
          </a:ln>
          <a:effectLst>
            <a:outerShdw blurRad="63500" sx="102000" sy="102000" algn="ctr" rotWithShape="0">
              <a:prstClr val="black">
                <a:alpha val="20000"/>
              </a:prstClr>
            </a:outerShdw>
          </a:effectLst>
        </c:spPr>
        <c:dLbl>
          <c:idx val="0"/>
          <c:layout>
            <c:manualLayout>
              <c:x val="0.16985574956679447"/>
              <c:y val="4.3741115022809515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5067511314291046"/>
                  <c:h val="0.15039798078896022"/>
                </c:manualLayout>
              </c15:layout>
            </c:ext>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layout>
            <c:manualLayout>
              <c:x val="-0.1778468033022855"/>
              <c:y val="2.53419957800724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layout>
            <c:manualLayout>
              <c:x val="-2.4370816157374378E-3"/>
              <c:y val="-9.700464574451420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1463347712476339"/>
                  <c:h val="0.24379825834222596"/>
                </c:manualLayout>
              </c15:layout>
            </c:ext>
          </c:extLst>
        </c:dLbl>
      </c:pivotFmt>
      <c:pivotFmt>
        <c:idx val="11"/>
        <c:spPr>
          <a:solidFill>
            <a:schemeClr val="accent1"/>
          </a:solidFill>
          <a:ln>
            <a:noFill/>
          </a:ln>
          <a:effectLst>
            <a:outerShdw blurRad="63500" sx="102000" sy="102000" algn="ctr" rotWithShape="0">
              <a:prstClr val="black">
                <a:alpha val="20000"/>
              </a:prstClr>
            </a:outerShdw>
          </a:effectLst>
        </c:spPr>
        <c:dLbl>
          <c:idx val="0"/>
          <c:layout>
            <c:manualLayout>
              <c:x val="0.16985574956679447"/>
              <c:y val="4.3741115022809515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5067511314291046"/>
                  <c:h val="0.15039798078896022"/>
                </c:manualLayout>
              </c15:layout>
            </c:ext>
          </c:extLst>
        </c:dLbl>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layout>
            <c:manualLayout>
              <c:x val="-0.25113065288660991"/>
              <c:y val="2.53419957800724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2"/>
          </a:solidFill>
          <a:ln>
            <a:noFill/>
          </a:ln>
          <a:effectLst>
            <a:outerShdw blurRad="63500" sx="102000" sy="102000" algn="ctr" rotWithShape="0">
              <a:prstClr val="black">
                <a:alpha val="20000"/>
              </a:prstClr>
            </a:outerShdw>
          </a:effectLst>
        </c:spPr>
        <c:dLbl>
          <c:idx val="0"/>
          <c:layout>
            <c:manualLayout>
              <c:x val="-2.4370816157374378E-3"/>
              <c:y val="-9.700464574451420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1463347712476339"/>
                  <c:h val="0.24379825834222596"/>
                </c:manualLayout>
              </c15:layout>
            </c:ext>
          </c:extLst>
        </c:dLbl>
      </c:pivotFmt>
      <c:pivotFmt>
        <c:idx val="15"/>
        <c:spPr>
          <a:solidFill>
            <a:schemeClr val="accent3"/>
          </a:solidFill>
          <a:ln>
            <a:noFill/>
          </a:ln>
          <a:effectLst>
            <a:outerShdw blurRad="63500" sx="102000" sy="102000" algn="ctr" rotWithShape="0">
              <a:prstClr val="black">
                <a:alpha val="20000"/>
              </a:prstClr>
            </a:outerShdw>
          </a:effectLst>
        </c:spPr>
        <c:dLbl>
          <c:idx val="0"/>
          <c:layout>
            <c:manualLayout>
              <c:x val="0.26233317734962708"/>
              <c:y val="8.1101409902929855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0302071652301604"/>
                  <c:h val="0.25313828609755251"/>
                </c:manualLayout>
              </c15:layout>
            </c:ext>
          </c:extLst>
        </c:dLbl>
      </c:pivotFmt>
      <c:pivotFmt>
        <c:idx val="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layout>
            <c:manualLayout>
              <c:x val="-0.25113065288660991"/>
              <c:y val="2.53419957800724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2"/>
          </a:solidFill>
          <a:ln>
            <a:noFill/>
          </a:ln>
          <a:effectLst>
            <a:outerShdw blurRad="63500" sx="102000" sy="102000" algn="ctr" rotWithShape="0">
              <a:prstClr val="black">
                <a:alpha val="20000"/>
              </a:prstClr>
            </a:outerShdw>
          </a:effectLst>
        </c:spPr>
        <c:dLbl>
          <c:idx val="0"/>
          <c:layout>
            <c:manualLayout>
              <c:x val="-2.4370816157374378E-3"/>
              <c:y val="-9.700464574451420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1463347712476339"/>
                  <c:h val="0.24379825834222596"/>
                </c:manualLayout>
              </c15:layout>
            </c:ext>
          </c:extLst>
        </c:dLbl>
      </c:pivotFmt>
      <c:pivotFmt>
        <c:idx val="19"/>
        <c:spPr>
          <a:solidFill>
            <a:schemeClr val="accent3"/>
          </a:solidFill>
          <a:ln>
            <a:noFill/>
          </a:ln>
          <a:effectLst>
            <a:outerShdw blurRad="63500" sx="102000" sy="102000" algn="ctr" rotWithShape="0">
              <a:prstClr val="black">
                <a:alpha val="20000"/>
              </a:prstClr>
            </a:outerShdw>
          </a:effectLst>
        </c:spPr>
        <c:dLbl>
          <c:idx val="0"/>
          <c:layout>
            <c:manualLayout>
              <c:x val="0.26233317734962708"/>
              <c:y val="8.1101409902929855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0302071652301604"/>
                  <c:h val="0.25313828609755251"/>
                </c:manualLayout>
              </c15:layout>
            </c:ext>
          </c:extLst>
        </c:dLbl>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dLbl>
          <c:idx val="0"/>
          <c:layout>
            <c:manualLayout>
              <c:x val="-0.1062167121389349"/>
              <c:y val="2.836114527613767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35861620580170789"/>
                  <c:h val="0.39261978374528661"/>
                </c:manualLayout>
              </c15:layout>
            </c:ext>
          </c:extLst>
        </c:dLbl>
      </c:pivotFmt>
      <c:pivotFmt>
        <c:idx val="22"/>
        <c:spPr>
          <a:solidFill>
            <a:schemeClr val="accent2"/>
          </a:solidFill>
          <a:ln>
            <a:noFill/>
          </a:ln>
          <a:effectLst>
            <a:outerShdw blurRad="63500" sx="102000" sy="102000" algn="ctr" rotWithShape="0">
              <a:prstClr val="black">
                <a:alpha val="20000"/>
              </a:prstClr>
            </a:outerShdw>
          </a:effectLst>
        </c:spPr>
        <c:dLbl>
          <c:idx val="0"/>
          <c:layout>
            <c:manualLayout>
              <c:x val="2.371404279782879E-2"/>
              <c:y val="-3.141175066667364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9478707597889042"/>
                  <c:h val="0.30252845412656515"/>
                </c:manualLayout>
              </c15:layout>
            </c:ext>
          </c:extLst>
        </c:dLbl>
      </c:pivotFmt>
      <c:pivotFmt>
        <c:idx val="23"/>
        <c:spPr>
          <a:solidFill>
            <a:schemeClr val="accent3"/>
          </a:solidFill>
          <a:ln>
            <a:noFill/>
          </a:ln>
          <a:effectLst>
            <a:outerShdw blurRad="63500" sx="102000" sy="102000" algn="ctr" rotWithShape="0">
              <a:prstClr val="black">
                <a:alpha val="20000"/>
              </a:prstClr>
            </a:outerShdw>
          </a:effectLst>
        </c:spPr>
        <c:dLbl>
          <c:idx val="0"/>
          <c:layout>
            <c:manualLayout>
              <c:x val="0.23458397851514229"/>
              <c:y val="3.883561152122349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9551924571873617"/>
                  <c:h val="0.25313820362060008"/>
                </c:manualLayout>
              </c15:layout>
            </c:ext>
          </c:extLst>
        </c:dLbl>
      </c:pivotFmt>
    </c:pivotFmts>
    <c:plotArea>
      <c:layout>
        <c:manualLayout>
          <c:layoutTarget val="inner"/>
          <c:xMode val="edge"/>
          <c:yMode val="edge"/>
          <c:x val="0.1706325328081407"/>
          <c:y val="0.28400483160595402"/>
          <c:w val="0.72982383562588327"/>
          <c:h val="0.71460663046098294"/>
        </c:manualLayout>
      </c:layout>
      <c:pieChart>
        <c:varyColors val="1"/>
        <c:ser>
          <c:idx val="0"/>
          <c:order val="0"/>
          <c:tx>
            <c:strRef>
              <c:f>'VISUAL QUES ANSWER'!$S$3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4EF-41A2-BCA8-344066EFAFF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4EF-41A2-BCA8-344066EFAFF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4EF-41A2-BCA8-344066EFAFF4}"/>
              </c:ext>
            </c:extLst>
          </c:dPt>
          <c:dLbls>
            <c:dLbl>
              <c:idx val="0"/>
              <c:layout>
                <c:manualLayout>
                  <c:x val="-0.1062167121389349"/>
                  <c:y val="2.836114527613767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35861620580170789"/>
                      <c:h val="0.39261978374528661"/>
                    </c:manualLayout>
                  </c15:layout>
                </c:ext>
                <c:ext xmlns:c16="http://schemas.microsoft.com/office/drawing/2014/chart" uri="{C3380CC4-5D6E-409C-BE32-E72D297353CC}">
                  <c16:uniqueId val="{00000001-74EF-41A2-BCA8-344066EFAFF4}"/>
                </c:ext>
              </c:extLst>
            </c:dLbl>
            <c:dLbl>
              <c:idx val="1"/>
              <c:layout>
                <c:manualLayout>
                  <c:x val="2.371404279782879E-2"/>
                  <c:y val="-3.141175066667364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9478707597889042"/>
                      <c:h val="0.30252845412656515"/>
                    </c:manualLayout>
                  </c15:layout>
                </c:ext>
                <c:ext xmlns:c16="http://schemas.microsoft.com/office/drawing/2014/chart" uri="{C3380CC4-5D6E-409C-BE32-E72D297353CC}">
                  <c16:uniqueId val="{00000003-74EF-41A2-BCA8-344066EFAFF4}"/>
                </c:ext>
              </c:extLst>
            </c:dLbl>
            <c:dLbl>
              <c:idx val="2"/>
              <c:layout>
                <c:manualLayout>
                  <c:x val="0.23458397851514229"/>
                  <c:y val="3.883561152122349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9551924571873617"/>
                      <c:h val="0.25313820362060008"/>
                    </c:manualLayout>
                  </c15:layout>
                </c:ext>
                <c:ext xmlns:c16="http://schemas.microsoft.com/office/drawing/2014/chart" uri="{C3380CC4-5D6E-409C-BE32-E72D297353CC}">
                  <c16:uniqueId val="{00000005-74EF-41A2-BCA8-344066EFAFF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howLeaderLines val="0"/>
            <c:extLst>
              <c:ext xmlns:c15="http://schemas.microsoft.com/office/drawing/2012/chart" uri="{CE6537A1-D6FC-4f65-9D91-7224C49458BB}"/>
            </c:extLst>
          </c:dLbls>
          <c:cat>
            <c:strRef>
              <c:f>'VISUAL QUES ANSWER'!$R$4:$R$7</c:f>
              <c:strCache>
                <c:ptCount val="3"/>
                <c:pt idx="0">
                  <c:v>Before Time</c:v>
                </c:pt>
                <c:pt idx="1">
                  <c:v>In Time</c:v>
                </c:pt>
                <c:pt idx="2">
                  <c:v>Late</c:v>
                </c:pt>
              </c:strCache>
            </c:strRef>
          </c:cat>
          <c:val>
            <c:numRef>
              <c:f>'VISUAL QUES ANSWER'!$S$4:$S$7</c:f>
              <c:numCache>
                <c:formatCode>General</c:formatCode>
                <c:ptCount val="3"/>
                <c:pt idx="0">
                  <c:v>213</c:v>
                </c:pt>
                <c:pt idx="1">
                  <c:v>77</c:v>
                </c:pt>
                <c:pt idx="2">
                  <c:v>210</c:v>
                </c:pt>
              </c:numCache>
            </c:numRef>
          </c:val>
          <c:extLst>
            <c:ext xmlns:c16="http://schemas.microsoft.com/office/drawing/2014/chart" uri="{C3380CC4-5D6E-409C-BE32-E72D297353CC}">
              <c16:uniqueId val="{00000006-74EF-41A2-BCA8-344066EFAFF4}"/>
            </c:ext>
          </c:extLst>
        </c:ser>
        <c:dLbls>
          <c:dLblPos val="outEnd"/>
          <c:showLegendKey val="0"/>
          <c:showVal val="0"/>
          <c:showCatName val="0"/>
          <c:showSerName val="0"/>
          <c:showPercent val="1"/>
          <c:showBubbleSize val="0"/>
          <c:showLeaderLines val="0"/>
        </c:dLbls>
        <c:firstSliceAng val="0"/>
      </c:pieChart>
      <c:spPr>
        <a:noFill/>
        <a:ln w="25400">
          <a:noFill/>
        </a:ln>
        <a:effectLst/>
      </c:spPr>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195013</xdr:colOff>
      <xdr:row>23</xdr:row>
      <xdr:rowOff>172740</xdr:rowOff>
    </xdr:from>
    <xdr:to>
      <xdr:col>11</xdr:col>
      <xdr:colOff>110289</xdr:colOff>
      <xdr:row>36</xdr:row>
      <xdr:rowOff>20054</xdr:rowOff>
    </xdr:to>
    <xdr:graphicFrame macro="">
      <xdr:nvGraphicFramePr>
        <xdr:cNvPr id="8" name="Chart 7">
          <a:extLst>
            <a:ext uri="{FF2B5EF4-FFF2-40B4-BE49-F238E27FC236}">
              <a16:creationId xmlns:a16="http://schemas.microsoft.com/office/drawing/2014/main" id="{8EF013F0-28CD-4D6C-A597-DACD7A29D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455612</xdr:colOff>
      <xdr:row>7</xdr:row>
      <xdr:rowOff>29023</xdr:rowOff>
    </xdr:from>
    <xdr:to>
      <xdr:col>14</xdr:col>
      <xdr:colOff>200526</xdr:colOff>
      <xdr:row>22</xdr:row>
      <xdr:rowOff>160421</xdr:rowOff>
    </xdr:to>
    <xdr:graphicFrame macro="">
      <xdr:nvGraphicFramePr>
        <xdr:cNvPr id="6" name="Chart 5">
          <a:extLst>
            <a:ext uri="{FF2B5EF4-FFF2-40B4-BE49-F238E27FC236}">
              <a16:creationId xmlns:a16="http://schemas.microsoft.com/office/drawing/2014/main" id="{2A66479F-F1B9-4D1C-B95A-9E37D208A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223493</xdr:colOff>
      <xdr:row>24</xdr:row>
      <xdr:rowOff>52747</xdr:rowOff>
    </xdr:from>
    <xdr:to>
      <xdr:col>22</xdr:col>
      <xdr:colOff>301017</xdr:colOff>
      <xdr:row>36</xdr:row>
      <xdr:rowOff>74898</xdr:rowOff>
    </xdr:to>
    <xdr:graphicFrame macro="">
      <xdr:nvGraphicFramePr>
        <xdr:cNvPr id="17" name="Chart 16">
          <a:extLst>
            <a:ext uri="{FF2B5EF4-FFF2-40B4-BE49-F238E27FC236}">
              <a16:creationId xmlns:a16="http://schemas.microsoft.com/office/drawing/2014/main" id="{ABA9D7F4-26C7-698B-522C-1F6C691C0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290763</xdr:colOff>
      <xdr:row>24</xdr:row>
      <xdr:rowOff>64901</xdr:rowOff>
    </xdr:from>
    <xdr:to>
      <xdr:col>18</xdr:col>
      <xdr:colOff>135329</xdr:colOff>
      <xdr:row>36</xdr:row>
      <xdr:rowOff>60158</xdr:rowOff>
    </xdr:to>
    <xdr:graphicFrame macro="">
      <xdr:nvGraphicFramePr>
        <xdr:cNvPr id="4" name="Chart 3">
          <a:extLst>
            <a:ext uri="{FF2B5EF4-FFF2-40B4-BE49-F238E27FC236}">
              <a16:creationId xmlns:a16="http://schemas.microsoft.com/office/drawing/2014/main" id="{0E34CDDA-8376-4032-A7FE-9A360E663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421106</xdr:colOff>
      <xdr:row>7</xdr:row>
      <xdr:rowOff>20053</xdr:rowOff>
    </xdr:from>
    <xdr:to>
      <xdr:col>24</xdr:col>
      <xdr:colOff>19836</xdr:colOff>
      <xdr:row>22</xdr:row>
      <xdr:rowOff>167897</xdr:rowOff>
    </xdr:to>
    <xdr:graphicFrame macro="">
      <xdr:nvGraphicFramePr>
        <xdr:cNvPr id="18" name="Chart 17">
          <a:extLst>
            <a:ext uri="{FF2B5EF4-FFF2-40B4-BE49-F238E27FC236}">
              <a16:creationId xmlns:a16="http://schemas.microsoft.com/office/drawing/2014/main" id="{C68A3249-263A-4A78-B7EC-AA2A8C36C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418285</xdr:colOff>
      <xdr:row>24</xdr:row>
      <xdr:rowOff>55376</xdr:rowOff>
    </xdr:from>
    <xdr:to>
      <xdr:col>26</xdr:col>
      <xdr:colOff>240631</xdr:colOff>
      <xdr:row>36</xdr:row>
      <xdr:rowOff>50131</xdr:rowOff>
    </xdr:to>
    <xdr:graphicFrame macro="">
      <xdr:nvGraphicFramePr>
        <xdr:cNvPr id="19" name="Chart 18">
          <a:extLst>
            <a:ext uri="{FF2B5EF4-FFF2-40B4-BE49-F238E27FC236}">
              <a16:creationId xmlns:a16="http://schemas.microsoft.com/office/drawing/2014/main" id="{4E6E267A-4257-4A08-9B09-72745E430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165100</xdr:colOff>
      <xdr:row>0</xdr:row>
      <xdr:rowOff>174626</xdr:rowOff>
    </xdr:from>
    <xdr:to>
      <xdr:col>2</xdr:col>
      <xdr:colOff>595312</xdr:colOff>
      <xdr:row>10</xdr:row>
      <xdr:rowOff>63383</xdr:rowOff>
    </xdr:to>
    <mc:AlternateContent xmlns:mc="http://schemas.openxmlformats.org/markup-compatibility/2006" xmlns:a14="http://schemas.microsoft.com/office/drawing/2010/main">
      <mc:Choice Requires="a14">
        <xdr:graphicFrame macro="">
          <xdr:nvGraphicFramePr>
            <xdr:cNvPr id="20" name="Months (Order_Date)">
              <a:extLst>
                <a:ext uri="{FF2B5EF4-FFF2-40B4-BE49-F238E27FC236}">
                  <a16:creationId xmlns:a16="http://schemas.microsoft.com/office/drawing/2014/main" id="{E7339F9D-7C41-F2F9-960B-9AE15A35117F}"/>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165100" y="174626"/>
              <a:ext cx="1657161" cy="1921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157342</xdr:colOff>
      <xdr:row>11</xdr:row>
      <xdr:rowOff>81220</xdr:rowOff>
    </xdr:from>
    <xdr:to>
      <xdr:col>2</xdr:col>
      <xdr:colOff>585389</xdr:colOff>
      <xdr:row>21</xdr:row>
      <xdr:rowOff>84682</xdr:rowOff>
    </xdr:to>
    <mc:AlternateContent xmlns:mc="http://schemas.openxmlformats.org/markup-compatibility/2006" xmlns:a14="http://schemas.microsoft.com/office/drawing/2010/main">
      <mc:Choice Requires="a14">
        <xdr:graphicFrame macro="">
          <xdr:nvGraphicFramePr>
            <xdr:cNvPr id="21" name="City">
              <a:extLst>
                <a:ext uri="{FF2B5EF4-FFF2-40B4-BE49-F238E27FC236}">
                  <a16:creationId xmlns:a16="http://schemas.microsoft.com/office/drawing/2014/main" id="{7A934810-1D49-BAF9-5797-673E9DBDE2A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7342" y="2147661"/>
              <a:ext cx="1654996" cy="1940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145617</xdr:colOff>
      <xdr:row>22</xdr:row>
      <xdr:rowOff>4620</xdr:rowOff>
    </xdr:from>
    <xdr:to>
      <xdr:col>2</xdr:col>
      <xdr:colOff>595312</xdr:colOff>
      <xdr:row>27</xdr:row>
      <xdr:rowOff>178593</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89EA4D7D-A5D7-D2EC-5B00-F31F1B1F95E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5617" y="4202078"/>
              <a:ext cx="1676644" cy="1142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586154</xdr:colOff>
      <xdr:row>1</xdr:row>
      <xdr:rowOff>11723</xdr:rowOff>
    </xdr:from>
    <xdr:to>
      <xdr:col>7</xdr:col>
      <xdr:colOff>23446</xdr:colOff>
      <xdr:row>6</xdr:row>
      <xdr:rowOff>35169</xdr:rowOff>
    </xdr:to>
    <xdr:sp macro="" textlink="">
      <xdr:nvSpPr>
        <xdr:cNvPr id="7" name="Rectangle 6">
          <a:extLst>
            <a:ext uri="{FF2B5EF4-FFF2-40B4-BE49-F238E27FC236}">
              <a16:creationId xmlns:a16="http://schemas.microsoft.com/office/drawing/2014/main" id="{4657E0D0-3A54-DF9E-2379-8E0CF2C1B379}"/>
            </a:ext>
          </a:extLst>
        </xdr:cNvPr>
        <xdr:cNvSpPr/>
      </xdr:nvSpPr>
      <xdr:spPr>
        <a:xfrm>
          <a:off x="2414954" y="199292"/>
          <a:ext cx="1875692" cy="1090246"/>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137500</xdr:colOff>
      <xdr:row>28</xdr:row>
      <xdr:rowOff>67973</xdr:rowOff>
    </xdr:from>
    <xdr:to>
      <xdr:col>3</xdr:col>
      <xdr:colOff>0</xdr:colOff>
      <xdr:row>34</xdr:row>
      <xdr:rowOff>89297</xdr:rowOff>
    </xdr:to>
    <mc:AlternateContent xmlns:mc="http://schemas.openxmlformats.org/markup-compatibility/2006" xmlns:a14="http://schemas.microsoft.com/office/drawing/2010/main">
      <mc:Choice Requires="a14">
        <xdr:graphicFrame macro="">
          <xdr:nvGraphicFramePr>
            <xdr:cNvPr id="23" name="IslateDelivery">
              <a:extLst>
                <a:ext uri="{FF2B5EF4-FFF2-40B4-BE49-F238E27FC236}">
                  <a16:creationId xmlns:a16="http://schemas.microsoft.com/office/drawing/2014/main" id="{7D1D4D37-4D94-4213-BB70-DF854625F144}"/>
                </a:ext>
              </a:extLst>
            </xdr:cNvPr>
            <xdr:cNvGraphicFramePr/>
          </xdr:nvGraphicFramePr>
          <xdr:xfrm>
            <a:off x="0" y="0"/>
            <a:ext cx="0" cy="0"/>
          </xdr:xfrm>
          <a:graphic>
            <a:graphicData uri="http://schemas.microsoft.com/office/drawing/2010/slicer">
              <sle:slicer xmlns:sle="http://schemas.microsoft.com/office/drawing/2010/slicer" name="IslateDelivery"/>
            </a:graphicData>
          </a:graphic>
        </xdr:graphicFrame>
      </mc:Choice>
      <mc:Fallback xmlns="">
        <xdr:sp macro="" textlink="">
          <xdr:nvSpPr>
            <xdr:cNvPr id="0" name=""/>
            <xdr:cNvSpPr>
              <a:spLocks noTextEdit="1"/>
            </xdr:cNvSpPr>
          </xdr:nvSpPr>
          <xdr:spPr>
            <a:xfrm>
              <a:off x="137500" y="5427804"/>
              <a:ext cx="1702924" cy="1183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1</xdr:row>
      <xdr:rowOff>0</xdr:rowOff>
    </xdr:from>
    <xdr:to>
      <xdr:col>11</xdr:col>
      <xdr:colOff>46892</xdr:colOff>
      <xdr:row>6</xdr:row>
      <xdr:rowOff>23446</xdr:rowOff>
    </xdr:to>
    <xdr:sp macro="" textlink="">
      <xdr:nvSpPr>
        <xdr:cNvPr id="9" name="Rectangle 8">
          <a:extLst>
            <a:ext uri="{FF2B5EF4-FFF2-40B4-BE49-F238E27FC236}">
              <a16:creationId xmlns:a16="http://schemas.microsoft.com/office/drawing/2014/main" id="{14554365-05AE-42C3-86FC-8620A8E3AA9F}"/>
            </a:ext>
          </a:extLst>
        </xdr:cNvPr>
        <xdr:cNvSpPr/>
      </xdr:nvSpPr>
      <xdr:spPr>
        <a:xfrm>
          <a:off x="4876800" y="187569"/>
          <a:ext cx="1875692" cy="1090246"/>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1</xdr:row>
      <xdr:rowOff>0</xdr:rowOff>
    </xdr:from>
    <xdr:to>
      <xdr:col>15</xdr:col>
      <xdr:colOff>46892</xdr:colOff>
      <xdr:row>6</xdr:row>
      <xdr:rowOff>23446</xdr:rowOff>
    </xdr:to>
    <xdr:sp macro="" textlink="">
      <xdr:nvSpPr>
        <xdr:cNvPr id="10" name="Rectangle 9">
          <a:extLst>
            <a:ext uri="{FF2B5EF4-FFF2-40B4-BE49-F238E27FC236}">
              <a16:creationId xmlns:a16="http://schemas.microsoft.com/office/drawing/2014/main" id="{21769467-95C2-43CF-8720-EC9048BB4BA7}"/>
            </a:ext>
          </a:extLst>
        </xdr:cNvPr>
        <xdr:cNvSpPr/>
      </xdr:nvSpPr>
      <xdr:spPr>
        <a:xfrm>
          <a:off x="7315200" y="187569"/>
          <a:ext cx="1875692" cy="1090246"/>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609599</xdr:colOff>
      <xdr:row>1</xdr:row>
      <xdr:rowOff>0</xdr:rowOff>
    </xdr:from>
    <xdr:to>
      <xdr:col>20</xdr:col>
      <xdr:colOff>117230</xdr:colOff>
      <xdr:row>6</xdr:row>
      <xdr:rowOff>23446</xdr:rowOff>
    </xdr:to>
    <xdr:sp macro="" textlink="">
      <xdr:nvSpPr>
        <xdr:cNvPr id="11" name="Rectangle 10">
          <a:extLst>
            <a:ext uri="{FF2B5EF4-FFF2-40B4-BE49-F238E27FC236}">
              <a16:creationId xmlns:a16="http://schemas.microsoft.com/office/drawing/2014/main" id="{3AA2C0AF-1798-4235-9A73-A9E8F2F6C364}"/>
            </a:ext>
          </a:extLst>
        </xdr:cNvPr>
        <xdr:cNvSpPr/>
      </xdr:nvSpPr>
      <xdr:spPr>
        <a:xfrm>
          <a:off x="9753599" y="187569"/>
          <a:ext cx="2555631" cy="1090246"/>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609599</xdr:colOff>
      <xdr:row>1</xdr:row>
      <xdr:rowOff>0</xdr:rowOff>
    </xdr:from>
    <xdr:to>
      <xdr:col>26</xdr:col>
      <xdr:colOff>11722</xdr:colOff>
      <xdr:row>6</xdr:row>
      <xdr:rowOff>23446</xdr:rowOff>
    </xdr:to>
    <xdr:sp macro="" textlink="">
      <xdr:nvSpPr>
        <xdr:cNvPr id="12" name="Rectangle 11">
          <a:extLst>
            <a:ext uri="{FF2B5EF4-FFF2-40B4-BE49-F238E27FC236}">
              <a16:creationId xmlns:a16="http://schemas.microsoft.com/office/drawing/2014/main" id="{C0B4C1DF-C31E-44CA-ACE9-560A48243AEA}"/>
            </a:ext>
          </a:extLst>
        </xdr:cNvPr>
        <xdr:cNvSpPr/>
      </xdr:nvSpPr>
      <xdr:spPr>
        <a:xfrm>
          <a:off x="12801599" y="187569"/>
          <a:ext cx="3059723" cy="1090246"/>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O" refreshedDate="46165.843034375001" createdVersion="8" refreshedVersion="8" minRefreshableVersion="3" recordCount="500" xr:uid="{865464CE-B6DA-4FE0-9489-C60E6648C77B}">
  <cacheSource type="worksheet">
    <worksheetSource ref="A1:AD501" sheet="data"/>
  </cacheSource>
  <cacheFields count="33">
    <cacheField name="Customer_ID" numFmtId="0">
      <sharedItems count="100">
        <s v="CID186"/>
        <s v="CID150"/>
        <s v="CID115"/>
        <s v="CID149"/>
        <s v="CID159"/>
        <s v="CID198"/>
        <s v="CID152"/>
        <s v="CID130"/>
        <s v="CID101"/>
        <s v="CID105"/>
        <s v="CID172"/>
        <s v="CID178"/>
        <s v="CID176"/>
        <s v="CID148"/>
        <s v="CID137"/>
        <s v="CID147"/>
        <s v="CID128"/>
        <s v="CID168"/>
        <s v="CID179"/>
        <s v="CID163"/>
        <s v="CID182"/>
        <s v="CID158"/>
        <s v="CID193"/>
        <s v="CID166"/>
        <s v="CID191"/>
        <s v="CID108"/>
        <s v="CID161"/>
        <s v="CID190"/>
        <s v="CID120"/>
        <s v="CID155"/>
        <s v="CID121"/>
        <s v="CID133"/>
        <s v="CID169"/>
        <s v="CID132"/>
        <s v="CID180"/>
        <s v="CID184"/>
        <s v="CID187"/>
        <s v="CID181"/>
        <s v="CID116"/>
        <s v="CID135"/>
        <s v="CID165"/>
        <s v="CID126"/>
        <s v="CID111"/>
        <s v="CID129"/>
        <s v="CID199"/>
        <s v="CID134"/>
        <s v="CID136"/>
        <s v="CID153"/>
        <s v="CID100"/>
        <s v="CID195"/>
        <s v="CID175"/>
        <s v="CID103"/>
        <s v="CID192"/>
        <s v="CID174"/>
        <s v="CID145"/>
        <s v="CID144"/>
        <s v="CID125"/>
        <s v="CID139"/>
        <s v="CID118"/>
        <s v="CID140"/>
        <s v="CID123"/>
        <s v="CID183"/>
        <s v="CID143"/>
        <s v="CID156"/>
        <s v="CID170"/>
        <s v="CID107"/>
        <s v="CID185"/>
        <s v="CID194"/>
        <s v="CID188"/>
        <s v="CID112"/>
        <s v="CID124"/>
        <s v="CID160"/>
        <s v="CID171"/>
        <s v="CID173"/>
        <s v="CID119"/>
        <s v="CID109"/>
        <s v="CID127"/>
        <s v="CID189"/>
        <s v="CID162"/>
        <s v="CID104"/>
        <s v="CID138"/>
        <s v="CID142"/>
        <s v="CID113"/>
        <s v="CID102"/>
        <s v="CID117"/>
        <s v="CID154"/>
        <s v="CID141"/>
        <s v="CID122"/>
        <s v="CID131"/>
        <s v="CID157"/>
        <s v="CID164"/>
        <s v="CID151"/>
        <s v="CID114"/>
        <s v="CID110"/>
        <s v="CID196"/>
        <s v="CID177"/>
        <s v="CID106"/>
        <s v="CID197"/>
        <s v="CID146"/>
        <s v="CID167"/>
      </sharedItems>
    </cacheField>
    <cacheField name="First_Name" numFmtId="0">
      <sharedItems/>
    </cacheField>
    <cacheField name="Last_Name" numFmtId="0">
      <sharedItems/>
    </cacheField>
    <cacheField name="Age" numFmtId="0">
      <sharedItems containsSemiMixedTypes="0" containsString="0" containsNumber="1" containsInteger="1" minValue="18" maxValue="70"/>
    </cacheField>
    <cacheField name="Gender" numFmtId="0">
      <sharedItems count="3">
        <s v="Male"/>
        <s v="Female"/>
        <s v="Other"/>
      </sharedItems>
    </cacheField>
    <cacheField name="City" numFmtId="0">
      <sharedItems count="8">
        <s v="Phoenix"/>
        <s v="Houston"/>
        <s v="New York"/>
        <s v="Los Angeles"/>
        <s v="Miami"/>
        <s v="Chicago"/>
        <s v="San Francisco"/>
        <s v="Dallas"/>
      </sharedItems>
    </cacheField>
    <cacheField name="Email" numFmtId="0">
      <sharedItems/>
    </cacheField>
    <cacheField name="Address" numFmtId="0">
      <sharedItems/>
    </cacheField>
    <cacheField name="Order_ID" numFmtId="0">
      <sharedItems/>
    </cacheField>
    <cacheField name="Order_Date" numFmtId="164">
      <sharedItems containsSemiMixedTypes="0" containsNonDate="0" containsDate="1" containsString="0" minDate="2023-02-09T00:00:00" maxDate="2025-02-08T00:00:00" count="365">
        <d v="2024-03-07T00:00:00"/>
        <d v="2024-03-27T00:00:00"/>
        <d v="2024-02-20T00:00:00"/>
        <d v="2024-05-14T00:00:00"/>
        <d v="2024-04-09T00:00:00"/>
        <d v="2024-09-08T00:00:00"/>
        <d v="2025-01-05T00:00:00"/>
        <d v="2024-06-16T00:00:00"/>
        <d v="2023-04-24T00:00:00"/>
        <d v="2023-12-22T00:00:00"/>
        <d v="2024-10-23T00:00:00"/>
        <d v="2024-07-25T00:00:00"/>
        <d v="2023-03-12T00:00:00"/>
        <d v="2023-12-07T00:00:00"/>
        <d v="2024-03-26T00:00:00"/>
        <d v="2023-06-02T00:00:00"/>
        <d v="2023-02-09T00:00:00"/>
        <d v="2024-09-07T00:00:00"/>
        <d v="2025-01-08T00:00:00"/>
        <d v="2024-09-21T00:00:00"/>
        <d v="2024-08-16T00:00:00"/>
        <d v="2024-03-01T00:00:00"/>
        <d v="2023-07-18T00:00:00"/>
        <d v="2023-09-25T00:00:00"/>
        <d v="2023-08-08T00:00:00"/>
        <d v="2023-07-31T00:00:00"/>
        <d v="2023-05-20T00:00:00"/>
        <d v="2023-09-16T00:00:00"/>
        <d v="2023-03-02T00:00:00"/>
        <d v="2023-10-25T00:00:00"/>
        <d v="2024-04-07T00:00:00"/>
        <d v="2023-04-23T00:00:00"/>
        <d v="2024-09-13T00:00:00"/>
        <d v="2024-04-25T00:00:00"/>
        <d v="2023-08-30T00:00:00"/>
        <d v="2023-11-14T00:00:00"/>
        <d v="2023-11-12T00:00:00"/>
        <d v="2023-09-24T00:00:00"/>
        <d v="2024-12-30T00:00:00"/>
        <d v="2024-10-09T00:00:00"/>
        <d v="2024-09-22T00:00:00"/>
        <d v="2024-10-03T00:00:00"/>
        <d v="2023-08-13T00:00:00"/>
        <d v="2023-04-04T00:00:00"/>
        <d v="2024-02-14T00:00:00"/>
        <d v="2024-01-22T00:00:00"/>
        <d v="2023-05-08T00:00:00"/>
        <d v="2024-11-24T00:00:00"/>
        <d v="2024-09-10T00:00:00"/>
        <d v="2024-03-14T00:00:00"/>
        <d v="2023-08-07T00:00:00"/>
        <d v="2024-01-21T00:00:00"/>
        <d v="2024-11-03T00:00:00"/>
        <d v="2023-10-30T00:00:00"/>
        <d v="2023-08-11T00:00:00"/>
        <d v="2023-10-14T00:00:00"/>
        <d v="2024-12-29T00:00:00"/>
        <d v="2023-02-15T00:00:00"/>
        <d v="2024-05-23T00:00:00"/>
        <d v="2023-03-17T00:00:00"/>
        <d v="2025-01-23T00:00:00"/>
        <d v="2024-12-03T00:00:00"/>
        <d v="2024-02-24T00:00:00"/>
        <d v="2024-07-30T00:00:00"/>
        <d v="2024-06-08T00:00:00"/>
        <d v="2024-01-31T00:00:00"/>
        <d v="2023-12-17T00:00:00"/>
        <d v="2024-10-21T00:00:00"/>
        <d v="2024-10-02T00:00:00"/>
        <d v="2024-07-22T00:00:00"/>
        <d v="2024-03-04T00:00:00"/>
        <d v="2023-07-25T00:00:00"/>
        <d v="2024-12-24T00:00:00"/>
        <d v="2023-04-25T00:00:00"/>
        <d v="2025-01-26T00:00:00"/>
        <d v="2024-05-31T00:00:00"/>
        <d v="2025-01-18T00:00:00"/>
        <d v="2024-08-21T00:00:00"/>
        <d v="2024-11-29T00:00:00"/>
        <d v="2024-08-01T00:00:00"/>
        <d v="2023-11-22T00:00:00"/>
        <d v="2024-10-30T00:00:00"/>
        <d v="2023-10-28T00:00:00"/>
        <d v="2023-05-30T00:00:00"/>
        <d v="2024-09-20T00:00:00"/>
        <d v="2024-01-16T00:00:00"/>
        <d v="2024-07-31T00:00:00"/>
        <d v="2024-07-15T00:00:00"/>
        <d v="2023-07-11T00:00:00"/>
        <d v="2023-09-14T00:00:00"/>
        <d v="2025-01-16T00:00:00"/>
        <d v="2024-01-30T00:00:00"/>
        <d v="2023-10-04T00:00:00"/>
        <d v="2024-12-10T00:00:00"/>
        <d v="2023-08-27T00:00:00"/>
        <d v="2024-07-11T00:00:00"/>
        <d v="2023-07-06T00:00:00"/>
        <d v="2024-08-26T00:00:00"/>
        <d v="2024-05-20T00:00:00"/>
        <d v="2024-05-15T00:00:00"/>
        <d v="2023-04-05T00:00:00"/>
        <d v="2023-03-20T00:00:00"/>
        <d v="2024-04-24T00:00:00"/>
        <d v="2024-04-15T00:00:00"/>
        <d v="2023-12-16T00:00:00"/>
        <d v="2023-07-24T00:00:00"/>
        <d v="2023-08-18T00:00:00"/>
        <d v="2023-04-07T00:00:00"/>
        <d v="2023-06-29T00:00:00"/>
        <d v="2023-03-18T00:00:00"/>
        <d v="2024-07-26T00:00:00"/>
        <d v="2024-02-13T00:00:00"/>
        <d v="2023-09-17T00:00:00"/>
        <d v="2025-01-10T00:00:00"/>
        <d v="2024-06-07T00:00:00"/>
        <d v="2024-11-02T00:00:00"/>
        <d v="2024-10-24T00:00:00"/>
        <d v="2025-02-01T00:00:00"/>
        <d v="2023-06-17T00:00:00"/>
        <d v="2023-12-21T00:00:00"/>
        <d v="2023-02-22T00:00:00"/>
        <d v="2025-01-06T00:00:00"/>
        <d v="2023-10-27T00:00:00"/>
        <d v="2023-11-19T00:00:00"/>
        <d v="2024-02-09T00:00:00"/>
        <d v="2023-07-01T00:00:00"/>
        <d v="2023-12-23T00:00:00"/>
        <d v="2024-09-02T00:00:00"/>
        <d v="2024-11-13T00:00:00"/>
        <d v="2024-10-11T00:00:00"/>
        <d v="2023-09-30T00:00:00"/>
        <d v="2025-01-20T00:00:00"/>
        <d v="2024-10-16T00:00:00"/>
        <d v="2023-02-26T00:00:00"/>
        <d v="2023-03-04T00:00:00"/>
        <d v="2023-11-21T00:00:00"/>
        <d v="2023-10-01T00:00:00"/>
        <d v="2024-02-08T00:00:00"/>
        <d v="2023-07-22T00:00:00"/>
        <d v="2024-10-19T00:00:00"/>
        <d v="2023-12-31T00:00:00"/>
        <d v="2024-07-09T00:00:00"/>
        <d v="2023-06-12T00:00:00"/>
        <d v="2024-11-14T00:00:00"/>
        <d v="2023-04-29T00:00:00"/>
        <d v="2024-08-25T00:00:00"/>
        <d v="2024-08-31T00:00:00"/>
        <d v="2023-02-24T00:00:00"/>
        <d v="2023-10-08T00:00:00"/>
        <d v="2024-08-09T00:00:00"/>
        <d v="2024-09-15T00:00:00"/>
        <d v="2023-07-13T00:00:00"/>
        <d v="2024-10-26T00:00:00"/>
        <d v="2024-09-26T00:00:00"/>
        <d v="2023-05-05T00:00:00"/>
        <d v="2024-01-27T00:00:00"/>
        <d v="2024-08-04T00:00:00"/>
        <d v="2024-10-15T00:00:00"/>
        <d v="2024-07-05T00:00:00"/>
        <d v="2023-03-25T00:00:00"/>
        <d v="2024-06-14T00:00:00"/>
        <d v="2024-02-21T00:00:00"/>
        <d v="2023-06-18T00:00:00"/>
        <d v="2024-12-25T00:00:00"/>
        <d v="2024-06-12T00:00:00"/>
        <d v="2023-06-22T00:00:00"/>
        <d v="2023-05-14T00:00:00"/>
        <d v="2023-05-23T00:00:00"/>
        <d v="2023-04-20T00:00:00"/>
        <d v="2023-10-09T00:00:00"/>
        <d v="2023-11-11T00:00:00"/>
        <d v="2023-11-23T00:00:00"/>
        <d v="2024-08-19T00:00:00"/>
        <d v="2024-07-08T00:00:00"/>
        <d v="2023-05-07T00:00:00"/>
        <d v="2024-01-29T00:00:00"/>
        <d v="2023-05-28T00:00:00"/>
        <d v="2023-12-25T00:00:00"/>
        <d v="2023-03-16T00:00:00"/>
        <d v="2024-02-17T00:00:00"/>
        <d v="2024-02-27T00:00:00"/>
        <d v="2024-09-14T00:00:00"/>
        <d v="2023-07-05T00:00:00"/>
        <d v="2023-12-11T00:00:00"/>
        <d v="2024-10-13T00:00:00"/>
        <d v="2024-09-06T00:00:00"/>
        <d v="2024-04-26T00:00:00"/>
        <d v="2023-06-28T00:00:00"/>
        <d v="2023-10-18T00:00:00"/>
        <d v="2023-08-24T00:00:00"/>
        <d v="2023-12-13T00:00:00"/>
        <d v="2023-07-10T00:00:00"/>
        <d v="2024-04-10T00:00:00"/>
        <d v="2024-02-26T00:00:00"/>
        <d v="2023-11-27T00:00:00"/>
        <d v="2024-04-08T00:00:00"/>
        <d v="2023-07-02T00:00:00"/>
        <d v="2024-11-20T00:00:00"/>
        <d v="2024-05-05T00:00:00"/>
        <d v="2024-06-27T00:00:00"/>
        <d v="2023-02-11T00:00:00"/>
        <d v="2024-06-10T00:00:00"/>
        <d v="2024-11-12T00:00:00"/>
        <d v="2024-04-04T00:00:00"/>
        <d v="2024-08-27T00:00:00"/>
        <d v="2024-04-01T00:00:00"/>
        <d v="2023-11-03T00:00:00"/>
        <d v="2025-01-11T00:00:00"/>
        <d v="2025-01-02T00:00:00"/>
        <d v="2024-08-08T00:00:00"/>
        <d v="2024-04-11T00:00:00"/>
        <d v="2023-09-19T00:00:00"/>
        <d v="2023-04-10T00:00:00"/>
        <d v="2024-06-11T00:00:00"/>
        <d v="2024-09-12T00:00:00"/>
        <d v="2023-03-11T00:00:00"/>
        <d v="2025-01-15T00:00:00"/>
        <d v="2024-03-15T00:00:00"/>
        <d v="2024-02-29T00:00:00"/>
        <d v="2023-06-06T00:00:00"/>
        <d v="2024-05-16T00:00:00"/>
        <d v="2023-03-27T00:00:00"/>
        <d v="2024-02-10T00:00:00"/>
        <d v="2024-05-10T00:00:00"/>
        <d v="2023-04-01T00:00:00"/>
        <d v="2023-10-02T00:00:00"/>
        <d v="2024-08-18T00:00:00"/>
        <d v="2023-06-13T00:00:00"/>
        <d v="2023-05-03T00:00:00"/>
        <d v="2025-01-19T00:00:00"/>
        <d v="2023-06-15T00:00:00"/>
        <d v="2023-04-08T00:00:00"/>
        <d v="2023-05-12T00:00:00"/>
        <d v="2024-05-02T00:00:00"/>
        <d v="2024-08-23T00:00:00"/>
        <d v="2023-08-19T00:00:00"/>
        <d v="2023-06-27T00:00:00"/>
        <d v="2024-09-28T00:00:00"/>
        <d v="2023-12-19T00:00:00"/>
        <d v="2023-10-07T00:00:00"/>
        <d v="2024-02-02T00:00:00"/>
        <d v="2023-12-12T00:00:00"/>
        <d v="2025-01-14T00:00:00"/>
        <d v="2023-05-18T00:00:00"/>
        <d v="2023-02-16T00:00:00"/>
        <d v="2024-08-11T00:00:00"/>
        <d v="2023-02-19T00:00:00"/>
        <d v="2025-01-27T00:00:00"/>
        <d v="2024-04-18T00:00:00"/>
        <d v="2023-08-05T00:00:00"/>
        <d v="2023-10-12T00:00:00"/>
        <d v="2023-08-09T00:00:00"/>
        <d v="2024-12-11T00:00:00"/>
        <d v="2024-07-06T00:00:00"/>
        <d v="2024-07-28T00:00:00"/>
        <d v="2023-06-30T00:00:00"/>
        <d v="2024-05-08T00:00:00"/>
        <d v="2023-09-26T00:00:00"/>
        <d v="2024-10-08T00:00:00"/>
        <d v="2024-04-02T00:00:00"/>
        <d v="2024-04-06T00:00:00"/>
        <d v="2024-11-27T00:00:00"/>
        <d v="2023-12-29T00:00:00"/>
        <d v="2023-07-15T00:00:00"/>
        <d v="2024-12-01T00:00:00"/>
        <d v="2023-08-10T00:00:00"/>
        <d v="2025-01-25T00:00:00"/>
        <d v="2024-05-11T00:00:00"/>
        <d v="2024-01-12T00:00:00"/>
        <d v="2025-01-09T00:00:00"/>
        <d v="2023-06-08T00:00:00"/>
        <d v="2023-04-12T00:00:00"/>
        <d v="2024-04-05T00:00:00"/>
        <d v="2024-07-23T00:00:00"/>
        <d v="2023-09-18T00:00:00"/>
        <d v="2023-09-21T00:00:00"/>
        <d v="2023-02-25T00:00:00"/>
        <d v="2024-07-01T00:00:00"/>
        <d v="2024-11-04T00:00:00"/>
        <d v="2024-09-18T00:00:00"/>
        <d v="2023-05-13T00:00:00"/>
        <d v="2023-03-22T00:00:00"/>
        <d v="2025-01-21T00:00:00"/>
        <d v="2023-02-21T00:00:00"/>
        <d v="2024-05-09T00:00:00"/>
        <d v="2023-10-26T00:00:00"/>
        <d v="2024-06-30T00:00:00"/>
        <d v="2023-02-18T00:00:00"/>
        <d v="2024-07-12T00:00:00"/>
        <d v="2023-03-21T00:00:00"/>
        <d v="2024-11-26T00:00:00"/>
        <d v="2024-06-03T00:00:00"/>
        <d v="2023-11-17T00:00:00"/>
        <d v="2023-11-08T00:00:00"/>
        <d v="2023-12-10T00:00:00"/>
        <d v="2023-11-13T00:00:00"/>
        <d v="2023-12-04T00:00:00"/>
        <d v="2024-04-22T00:00:00"/>
        <d v="2024-06-26T00:00:00"/>
        <d v="2023-07-09T00:00:00"/>
        <d v="2024-01-11T00:00:00"/>
        <d v="2024-03-10T00:00:00"/>
        <d v="2023-06-14T00:00:00"/>
        <d v="2023-09-03T00:00:00"/>
        <d v="2024-12-31T00:00:00"/>
        <d v="2024-02-18T00:00:00"/>
        <d v="2024-02-22T00:00:00"/>
        <d v="2024-01-04T00:00:00"/>
        <d v="2024-07-04T00:00:00"/>
        <d v="2024-12-20T00:00:00"/>
        <d v="2023-04-17T00:00:00"/>
        <d v="2024-02-05T00:00:00"/>
        <d v="2024-08-13T00:00:00"/>
        <d v="2024-06-28T00:00:00"/>
        <d v="2024-02-28T00:00:00"/>
        <d v="2024-06-06T00:00:00"/>
        <d v="2024-03-08T00:00:00"/>
        <d v="2024-02-11T00:00:00"/>
        <d v="2025-01-24T00:00:00"/>
        <d v="2024-04-17T00:00:00"/>
        <d v="2024-04-14T00:00:00"/>
        <d v="2023-10-17T00:00:00"/>
        <d v="2024-03-17T00:00:00"/>
        <d v="2025-01-04T00:00:00"/>
        <d v="2024-12-27T00:00:00"/>
        <d v="2023-12-09T00:00:00"/>
        <d v="2025-02-07T00:00:00"/>
        <d v="2024-10-22T00:00:00"/>
        <d v="2024-04-16T00:00:00"/>
        <d v="2023-09-09T00:00:00"/>
        <d v="2024-09-01T00:00:00"/>
        <d v="2024-01-19T00:00:00"/>
        <d v="2023-08-29T00:00:00"/>
        <d v="2024-12-02T00:00:00"/>
        <d v="2023-09-06T00:00:00"/>
        <d v="2024-03-28T00:00:00"/>
        <d v="2024-12-07T00:00:00"/>
        <d v="2024-09-04T00:00:00"/>
        <d v="2024-05-17T00:00:00"/>
        <d v="2024-12-12T00:00:00"/>
        <d v="2024-03-29T00:00:00"/>
        <d v="2024-10-06T00:00:00"/>
        <d v="2023-02-23T00:00:00"/>
        <d v="2023-03-30T00:00:00"/>
        <d v="2024-10-31T00:00:00"/>
        <d v="2023-06-10T00:00:00"/>
        <d v="2023-06-26T00:00:00"/>
        <d v="2024-04-28T00:00:00"/>
        <d v="2024-03-11T00:00:00"/>
        <d v="2024-08-24T00:00:00"/>
        <d v="2024-03-03T00:00:00"/>
        <d v="2024-03-02T00:00:00"/>
        <d v="2023-11-29T00:00:00"/>
        <d v="2024-03-22T00:00:00"/>
        <d v="2023-05-26T00:00:00"/>
        <d v="2023-12-30T00:00:00"/>
        <d v="2023-07-21T00:00:00"/>
        <d v="2024-03-05T00:00:00"/>
        <d v="2023-10-05T00:00:00"/>
        <d v="2024-10-25T00:00:00"/>
        <d v="2023-09-13T00:00:00"/>
        <d v="2023-04-16T00:00:00"/>
        <d v="2024-07-17T00:00:00"/>
        <d v="2024-03-30T00:00:00"/>
        <d v="2024-06-29T00:00:00"/>
      </sharedItems>
      <fieldGroup par="32"/>
    </cacheField>
    <cacheField name="Order_Time" numFmtId="0">
      <sharedItems/>
    </cacheField>
    <cacheField name="Product_ID" numFmtId="0">
      <sharedItems count="50">
        <s v="PID022"/>
        <s v="PID015"/>
        <s v="PID023"/>
        <s v="PID031"/>
        <s v="PID043"/>
        <s v="PID046"/>
        <s v="PID034"/>
        <s v="PID033"/>
        <s v="PID007"/>
        <s v="PID042"/>
        <s v="PID047"/>
        <s v="PID039"/>
        <s v="PID014"/>
        <s v="PID024"/>
        <s v="PID003"/>
        <s v="PID008"/>
        <s v="PID012"/>
        <s v="PID028"/>
        <s v="PID030"/>
        <s v="PID026"/>
        <s v="PID018"/>
        <s v="PID036"/>
        <s v="PID050"/>
        <s v="PID021"/>
        <s v="PID027"/>
        <s v="PID037"/>
        <s v="PID041"/>
        <s v="PID004"/>
        <s v="PID020"/>
        <s v="PID010"/>
        <s v="PID001"/>
        <s v="PID019"/>
        <s v="PID009"/>
        <s v="PID038"/>
        <s v="PID048"/>
        <s v="PID049"/>
        <s v="PID017"/>
        <s v="PID016"/>
        <s v="PID006"/>
        <s v="PID025"/>
        <s v="PID005"/>
        <s v="PID035"/>
        <s v="PID013"/>
        <s v="PID032"/>
        <s v="PID040"/>
        <s v="PID029"/>
        <s v="PID044"/>
        <s v="PID011"/>
        <s v="PID002"/>
        <s v="PID045"/>
      </sharedItems>
    </cacheField>
    <cacheField name="Price" numFmtId="0">
      <sharedItems containsSemiMixedTypes="0" containsString="0" containsNumber="1" minValue="20" maxValue="496.59"/>
    </cacheField>
    <cacheField name="Quantity" numFmtId="0">
      <sharedItems containsSemiMixedTypes="0" containsString="0" containsNumber="1" containsInteger="1" minValue="1" maxValue="5"/>
    </cacheField>
    <cacheField name="Coupon_Code" numFmtId="0">
      <sharedItems count="5">
        <s v="FLAT8"/>
        <s v="FLAT15"/>
        <s v="DEL0"/>
        <s v="FLAT20"/>
        <s v="FLAT10"/>
      </sharedItems>
    </cacheField>
    <cacheField name="Estimated_Days_to_Deliver" numFmtId="0">
      <sharedItems containsSemiMixedTypes="0" containsString="0" containsNumber="1" containsInteger="1" minValue="1" maxValue="7"/>
    </cacheField>
    <cacheField name="Delivery_Charge" numFmtId="0">
      <sharedItems containsSemiMixedTypes="0" containsString="0" containsNumber="1" containsInteger="1" minValue="35" maxValue="70"/>
    </cacheField>
    <cacheField name="Delivery_Date" numFmtId="164">
      <sharedItems containsSemiMixedTypes="0" containsNonDate="0" containsDate="1" containsString="0" minDate="2023-02-13T00:00:00" maxDate="2025-02-14T00:00:00"/>
    </cacheField>
    <cacheField name="Delivery_Time" numFmtId="0">
      <sharedItems count="498">
        <s v="08:51:31"/>
        <s v="18:46:26"/>
        <s v="14:29:50"/>
        <s v="07:00:32"/>
        <s v="22:10:58"/>
        <s v="11:25:50"/>
        <s v="20:10:50"/>
        <s v="12:36:32"/>
        <s v="23:05:41"/>
        <s v="19:57:06"/>
        <s v="08:00:35"/>
        <s v="22:54:40"/>
        <s v="13:19:45"/>
        <s v="15:16:54"/>
        <s v="21:47:03"/>
        <s v="11:25:46"/>
        <s v="12:55:59"/>
        <s v="03:46:23"/>
        <s v="10:08:54"/>
        <s v="14:05:20"/>
        <s v="13:39:21"/>
        <s v="13:23:35"/>
        <s v="16:23:04"/>
        <s v="00:57:21"/>
        <s v="04:38:19"/>
        <s v="20:36:00"/>
        <s v="09:53:18"/>
        <s v="02:21:23"/>
        <s v="08:01:21"/>
        <s v="20:26:25"/>
        <s v="17:27:57"/>
        <s v="09:28:47"/>
        <s v="08:49:03"/>
        <s v="09:55:32"/>
        <s v="09:09:46"/>
        <s v="14:14:46"/>
        <s v="00:00:51"/>
        <s v="16:46:20"/>
        <s v="01:56:00"/>
        <s v="18:12:43"/>
        <s v="11:25:58"/>
        <s v="09:02:09"/>
        <s v="15:28:39"/>
        <s v="12:37:05"/>
        <s v="16:09:29"/>
        <s v="00:31:21"/>
        <s v="06:23:07"/>
        <s v="07:23:46"/>
        <s v="09:51:58"/>
        <s v="00:47:31"/>
        <s v="17:14:10"/>
        <s v="01:12:58"/>
        <s v="07:09:53"/>
        <s v="07:53:31"/>
        <s v="08:48:02"/>
        <s v="16:08:19"/>
        <s v="03:08:52"/>
        <s v="15:21:29"/>
        <s v="00:00:42"/>
        <s v="13:09:47"/>
        <s v="20:00:32"/>
        <s v="15:52:25"/>
        <s v="02:44:55"/>
        <s v="09:05:06"/>
        <s v="05:56:26"/>
        <s v="23:33:51"/>
        <s v="12:18:47"/>
        <s v="07:24:20"/>
        <s v="10:04:54"/>
        <s v="08:17:58"/>
        <s v="22:41:33"/>
        <s v="10:39:08"/>
        <s v="05:38:59"/>
        <s v="15:52:42"/>
        <s v="02:05:20"/>
        <s v="16:05:07"/>
        <s v="07:38:34"/>
        <s v="01:07:36"/>
        <s v="16:14:09"/>
        <s v="10:56:05"/>
        <s v="20:24:13"/>
        <s v="15:38:07"/>
        <s v="13:48:26"/>
        <s v="09:07:52"/>
        <s v="13:15:51"/>
        <s v="13:53:47"/>
        <s v="21:18:20"/>
        <s v="17:13:41"/>
        <s v="23:09:43"/>
        <s v="11:02:15"/>
        <s v="00:56:16"/>
        <s v="00:26:45"/>
        <s v="06:56:06"/>
        <s v="01:56:42"/>
        <s v="10:01:40"/>
        <s v="22:15:50"/>
        <s v="06:23:31"/>
        <s v="01:29:42"/>
        <s v="10:10:26"/>
        <s v="17:07:06"/>
        <s v="02:45:47"/>
        <s v="14:51:25"/>
        <s v="06:09:27"/>
        <s v="09:07:45"/>
        <s v="09:03:23"/>
        <s v="19:43:27"/>
        <s v="04:57:03"/>
        <s v="21:42:51"/>
        <s v="22:28:20"/>
        <s v="09:50:58"/>
        <s v="16:26:05"/>
        <s v="19:04:22"/>
        <s v="11:54:49"/>
        <s v="18:54:47"/>
        <s v="16:45:09"/>
        <s v="11:58:32"/>
        <s v="15:27:26"/>
        <s v="01:22:23"/>
        <s v="23:08:52"/>
        <s v="11:35:56"/>
        <s v="04:39:06"/>
        <s v="14:05:53"/>
        <s v="05:11:05"/>
        <s v="23:53:27"/>
        <s v="20:14:00"/>
        <s v="16:29:02"/>
        <s v="11:25:35"/>
        <s v="19:20:55"/>
        <s v="12:35:14"/>
        <s v="13:38:46"/>
        <s v="23:51:56"/>
        <s v="16:24:38"/>
        <s v="01:21:39"/>
        <s v="14:08:36"/>
        <s v="15:41:07"/>
        <s v="03:43:44"/>
        <s v="21:20:28"/>
        <s v="23:29:03"/>
        <s v="10:17:52"/>
        <s v="05:48:39"/>
        <s v="05:24:44"/>
        <s v="02:59:45"/>
        <s v="02:22:56"/>
        <s v="11:32:19"/>
        <s v="16:27:25"/>
        <s v="22:10:44"/>
        <s v="04:56:51"/>
        <s v="19:53:01"/>
        <s v="06:57:51"/>
        <s v="06:40:28"/>
        <s v="08:21:37"/>
        <s v="01:47:49"/>
        <s v="19:16:06"/>
        <s v="02:32:24"/>
        <s v="11:54:10"/>
        <s v="00:12:03"/>
        <s v="09:34:31"/>
        <s v="18:09:14"/>
        <s v="22:23:04"/>
        <s v="00:47:16"/>
        <s v="10:43:13"/>
        <s v="09:56:25"/>
        <s v="15:06:55"/>
        <s v="19:58:13"/>
        <s v="04:56:02"/>
        <s v="12:21:09"/>
        <s v="12:32:31"/>
        <s v="05:26:37"/>
        <s v="06:56:11"/>
        <s v="18:17:55"/>
        <s v="15:55:56"/>
        <s v="10:48:42"/>
        <s v="06:37:23"/>
        <s v="16:27:41"/>
        <s v="10:39:26"/>
        <s v="01:05:29"/>
        <s v="00:35:18"/>
        <s v="18:28:53"/>
        <s v="04:48:38"/>
        <s v="13:20:58"/>
        <s v="13:20:38"/>
        <s v="04:04:13"/>
        <s v="00:33:10"/>
        <s v="04:10:37"/>
        <s v="16:30:13"/>
        <s v="13:33:22"/>
        <s v="08:04:55"/>
        <s v="23:44:01"/>
        <s v="00:28:50"/>
        <s v="23:34:55"/>
        <s v="22:37:23"/>
        <s v="14:39:46"/>
        <s v="04:23:57"/>
        <s v="12:39:46"/>
        <s v="17:38:42"/>
        <s v="12:31:34"/>
        <s v="23:02:25"/>
        <s v="20:52:06"/>
        <s v="20:49:10"/>
        <s v="08:30:57"/>
        <s v="17:20:58"/>
        <s v="13:06:14"/>
        <s v="18:31:17"/>
        <s v="12:58:48"/>
        <s v="13:05:17"/>
        <s v="23:22:12"/>
        <s v="00:16:22"/>
        <s v="01:58:28"/>
        <s v="10:47:50"/>
        <s v="22:18:21"/>
        <s v="06:31:08"/>
        <s v="06:07:50"/>
        <s v="12:21:43"/>
        <s v="23:33:34"/>
        <s v="12:42:53"/>
        <s v="07:56:25"/>
        <s v="11:48:40"/>
        <s v="20:08:57"/>
        <s v="01:46:46"/>
        <s v="07:56:46"/>
        <s v="15:58:45"/>
        <s v="10:45:58"/>
        <s v="13:12:04"/>
        <s v="09:03:16"/>
        <s v="09:29:13"/>
        <s v="23:19:19"/>
        <s v="14:18:48"/>
        <s v="17:01:58"/>
        <s v="07:02:28"/>
        <s v="22:38:31"/>
        <s v="05:46:18"/>
        <s v="03:01:00"/>
        <s v="09:50:44"/>
        <s v="08:01:14"/>
        <s v="18:41:50"/>
        <s v="15:48:50"/>
        <s v="13:35:45"/>
        <s v="02:58:17"/>
        <s v="11:47:41"/>
        <s v="22:31:13"/>
        <s v="00:21:21"/>
        <s v="03:39:43"/>
        <s v="12:34:57"/>
        <s v="23:41:13"/>
        <s v="01:51:44"/>
        <s v="01:26:28"/>
        <s v="15:11:50"/>
        <s v="23:12:23"/>
        <s v="00:33:32"/>
        <s v="00:33:26"/>
        <s v="15:31:26"/>
        <s v="03:23:26"/>
        <s v="09:57:13"/>
        <s v="22:40:50"/>
        <s v="13:29:40"/>
        <s v="09:11:07"/>
        <s v="07:27:00"/>
        <s v="02:19:52"/>
        <s v="07:05:22"/>
        <s v="00:06:39"/>
        <s v="11:30:05"/>
        <s v="08:01:11"/>
        <s v="00:49:45"/>
        <s v="19:22:50"/>
        <s v="08:42:57"/>
        <s v="05:28:25"/>
        <s v="00:34:58"/>
        <s v="12:42:34"/>
        <s v="23:16:52"/>
        <s v="10:41:25"/>
        <s v="11:16:12"/>
        <s v="12:50:53"/>
        <s v="07:58:28"/>
        <s v="17:32:38"/>
        <s v="07:38:19"/>
        <s v="07:40:09"/>
        <s v="22:27:12"/>
        <s v="06:44:34"/>
        <s v="06:17:48"/>
        <s v="16:40:47"/>
        <s v="19:19:52"/>
        <s v="12:59:43"/>
        <s v="15:40:22"/>
        <s v="08:44:22"/>
        <s v="10:14:17"/>
        <s v="20:00:01"/>
        <s v="17:06:11"/>
        <s v="10:15:00"/>
        <s v="07:39:38"/>
        <s v="14:02:18"/>
        <s v="20:45:00"/>
        <s v="05:26:03"/>
        <s v="17:57:56"/>
        <s v="11:28:09"/>
        <s v="22:44:53"/>
        <s v="22:07:13"/>
        <s v="04:23:25"/>
        <s v="19:38:50"/>
        <s v="00:10:27"/>
        <s v="03:42:23"/>
        <s v="13:29:05"/>
        <s v="19:01:55"/>
        <s v="02:01:44"/>
        <s v="04:01:49"/>
        <s v="18:16:24"/>
        <s v="09:49:51"/>
        <s v="06:30:50"/>
        <s v="18:13:08"/>
        <s v="02:14:28"/>
        <s v="16:13:35"/>
        <s v="16:28:56"/>
        <s v="01:46:13"/>
        <s v="00:48:16"/>
        <s v="21:00:17"/>
        <s v="23:36:21"/>
        <s v="12:31:00"/>
        <s v="19:17:45"/>
        <s v="16:06:37"/>
        <s v="19:56:33"/>
        <s v="09:20:03"/>
        <s v="16:59:14"/>
        <s v="00:56:01"/>
        <s v="13:27:06"/>
        <s v="02:51:48"/>
        <s v="19:14:57"/>
        <s v="09:59:33"/>
        <s v="05:13:28"/>
        <s v="19:39:57"/>
        <s v="11:45:52"/>
        <s v="05:22:25"/>
        <s v="05:02:16"/>
        <s v="15:13:07"/>
        <s v="19:33:15"/>
        <s v="23:00:06"/>
        <s v="13:36:46"/>
        <s v="02:00:46"/>
        <s v="10:20:47"/>
        <s v="14:41:40"/>
        <s v="06:29:31"/>
        <s v="02:17:23"/>
        <s v="23:23:19"/>
        <s v="04:39:51"/>
        <s v="05:31:50"/>
        <s v="09:33:25"/>
        <s v="19:58:19"/>
        <s v="08:40:53"/>
        <s v="09:33:08"/>
        <s v="09:19:40"/>
        <s v="06:00:22"/>
        <s v="06:40:47"/>
        <s v="21:07:49"/>
        <s v="22:26:18"/>
        <s v="06:39:28"/>
        <s v="20:53:18"/>
        <s v="16:22:11"/>
        <s v="01:52:14"/>
        <s v="17:18:51"/>
        <s v="13:55:34"/>
        <s v="23:25:32"/>
        <s v="03:13:08"/>
        <s v="10:35:02"/>
        <s v="07:09:27"/>
        <s v="03:15:28"/>
        <s v="22:23:18"/>
        <s v="01:30:58"/>
        <s v="13:26:32"/>
        <s v="23:05:05"/>
        <s v="15:17:48"/>
        <s v="19:28:55"/>
        <s v="08:45:35"/>
        <s v="10:06:44"/>
        <s v="17:52:11"/>
        <s v="12:54:21"/>
        <s v="21:20:42"/>
        <s v="12:35:16"/>
        <s v="08:13:41"/>
        <s v="23:59:41"/>
        <s v="19:20:26"/>
        <s v="14:30:24"/>
        <s v="21:12:03"/>
        <s v="11:21:30"/>
        <s v="23:12:16"/>
        <s v="07:20:39"/>
        <s v="02:07:12"/>
        <s v="14:14:53"/>
        <s v="16:03:33"/>
        <s v="18:15:03"/>
        <s v="14:16:13"/>
        <s v="06:31:20"/>
        <s v="13:27:30"/>
        <s v="17:37:51"/>
        <s v="04:02:49"/>
        <s v="06:32:27"/>
        <s v="18:04:09"/>
        <s v="15:08:52"/>
        <s v="11:20:17"/>
        <s v="11:06:01"/>
        <s v="00:48:55"/>
        <s v="09:05:57"/>
        <s v="00:38:35"/>
        <s v="02:03:42"/>
        <s v="03:55:32"/>
        <s v="06:30:27"/>
        <s v="19:25:43"/>
        <s v="18:05:47"/>
        <s v="16:20:46"/>
        <s v="15:09:01"/>
        <s v="03:55:26"/>
        <s v="21:24:42"/>
        <s v="05:33:08"/>
        <s v="02:03:44"/>
        <s v="08:36:13"/>
        <s v="23:31:23"/>
        <s v="20:13:27"/>
        <s v="09:28:52"/>
        <s v="07:58:32"/>
        <s v="12:11:43"/>
        <s v="08:40:48"/>
        <s v="04:54:21"/>
        <s v="22:30:31"/>
        <s v="14:43:30"/>
        <s v="10:39:52"/>
        <s v="05:18:08"/>
        <s v="14:57:01"/>
        <s v="13:28:57"/>
        <s v="06:03:03"/>
        <s v="10:01:43"/>
        <s v="04:45:34"/>
        <s v="03:46:12"/>
        <s v="21:10:12"/>
        <s v="01:58:20"/>
        <s v="07:06:38"/>
        <s v="14:16:59"/>
        <s v="13:50:58"/>
        <s v="01:46:40"/>
        <s v="06:09:19"/>
        <s v="16:40:55"/>
        <s v="03:50:06"/>
        <s v="15:41:25"/>
        <s v="17:28:07"/>
        <s v="02:24:54"/>
        <s v="13:52:42"/>
        <s v="04:47:20"/>
        <s v="02:44:11"/>
        <s v="12:59:30"/>
        <s v="03:08:53"/>
        <s v="01:57:29"/>
        <s v="02:03:57"/>
        <s v="05:04:36"/>
        <s v="05:45:33"/>
        <s v="08:22:44"/>
        <s v="04:21:49"/>
        <s v="04:38:50"/>
        <s v="11:44:11"/>
        <s v="08:42:42"/>
        <s v="03:38:41"/>
        <s v="01:13:09"/>
        <s v="02:15:04"/>
        <s v="21:00:20"/>
        <s v="12:41:59"/>
        <s v="19:23:44"/>
        <s v="03:34:04"/>
        <s v="05:48:22"/>
        <s v="21:18:46"/>
        <s v="09:06:18"/>
        <s v="05:09:35"/>
        <s v="16:09:18"/>
        <s v="00:18:32"/>
        <s v="15:51:15"/>
        <s v="01:05:53"/>
        <s v="14:31:29"/>
        <s v="07:21:52"/>
        <s v="01:24:34"/>
        <s v="09:31:36"/>
        <s v="18:29:46"/>
        <s v="09:32:58"/>
        <s v="17:45:57"/>
        <s v="19:29:03"/>
        <s v="14:00:57"/>
        <s v="01:06:14"/>
        <s v="07:46:17"/>
        <s v="03:53:13"/>
        <s v="07:01:18"/>
        <s v="03:31:58"/>
        <s v="09:42:50"/>
        <s v="09:34:23"/>
        <s v="04:52:06"/>
        <s v="06:42:40"/>
        <s v="01:31:23"/>
        <s v="02:58:16"/>
        <s v="03:32:40"/>
        <s v="16:13:49"/>
        <s v="06:25:35"/>
        <s v="00:24:54"/>
        <s v="16:11:48"/>
        <s v="23:38:57"/>
        <s v="17:07:47"/>
        <s v="05:55:32"/>
      </sharedItems>
    </cacheField>
    <cacheField name="Days_to_Deliver" numFmtId="0">
      <sharedItems containsSemiMixedTypes="0" containsString="0" containsNumber="1" containsInteger="1" minValue="1" maxValue="7"/>
    </cacheField>
    <cacheField name="Amount" numFmtId="0">
      <sharedItems containsSemiMixedTypes="0" containsString="0" containsNumber="1" minValue="20" maxValue="2482.9499999999998"/>
    </cacheField>
    <cacheField name="Amount_with_Del_Chrg" numFmtId="0">
      <sharedItems containsSemiMixedTypes="0" containsString="0" containsNumber="1" minValue="71.7" maxValue="2543.9499999999998"/>
    </cacheField>
    <cacheField name="Discount_Percent" numFmtId="0">
      <sharedItems containsSemiMixedTypes="0" containsString="0" containsNumber="1" minValue="0" maxValue="0.2"/>
    </cacheField>
    <cacheField name="Discount_Amount" numFmtId="0">
      <sharedItems containsSemiMixedTypes="0" containsString="0" containsNumber="1" minValue="0" maxValue="504.59"/>
    </cacheField>
    <cacheField name="Final_Amount" numFmtId="0">
      <sharedItems containsSemiMixedTypes="0" containsString="0" containsNumber="1" minValue="65.866500000000002" maxValue="2340.4339999999997"/>
    </cacheField>
    <cacheField name="Full_Name" numFmtId="0">
      <sharedItems/>
    </cacheField>
    <cacheField name="IslateDelivery" numFmtId="164">
      <sharedItems count="3">
        <s v="Before Time"/>
        <s v="Late"/>
        <s v="In Time"/>
      </sharedItems>
    </cacheField>
    <cacheField name="Month" numFmtId="0">
      <sharedItems count="12">
        <s v="Mar"/>
        <s v="Feb"/>
        <s v="May"/>
        <s v="Apr"/>
        <s v="Sep"/>
        <s v="Jan"/>
        <s v="Jun"/>
        <s v="Dec"/>
        <s v="Oct"/>
        <s v="Jul"/>
        <s v="Aug"/>
        <s v="Nov"/>
      </sharedItems>
    </cacheField>
    <cacheField name="Year" numFmtId="0">
      <sharedItems containsSemiMixedTypes="0" containsString="0" containsNumber="1" containsInteger="1" minValue="2023" maxValue="2025" count="3">
        <n v="2024"/>
        <n v="2025"/>
        <n v="2023"/>
      </sharedItems>
    </cacheField>
    <cacheField name="Email_Domain" numFmtId="0">
      <sharedItems count="4">
        <s v="outlook.com"/>
        <s v="rediffmail.com"/>
        <s v="gmail.com"/>
        <s v="yahoo.com"/>
      </sharedItems>
    </cacheField>
    <cacheField name="Months (Order_Date)" numFmtId="0" databaseField="0">
      <fieldGroup base="9">
        <rangePr groupBy="months" startDate="2023-02-09T00:00:00" endDate="2025-02-08T00:00:00"/>
        <groupItems count="14">
          <s v="&lt;09-02-2023"/>
          <s v="Jan"/>
          <s v="Feb"/>
          <s v="Mar"/>
          <s v="Apr"/>
          <s v="May"/>
          <s v="Jun"/>
          <s v="Jul"/>
          <s v="Aug"/>
          <s v="Sep"/>
          <s v="Oct"/>
          <s v="Nov"/>
          <s v="Dec"/>
          <s v="&gt;08-02-2025"/>
        </groupItems>
      </fieldGroup>
    </cacheField>
    <cacheField name="Quarters (Order_Date)" numFmtId="0" databaseField="0">
      <fieldGroup base="9">
        <rangePr groupBy="quarters" startDate="2023-02-09T00:00:00" endDate="2025-02-08T00:00:00"/>
        <groupItems count="6">
          <s v="&lt;09-02-2023"/>
          <s v="Qtr1"/>
          <s v="Qtr2"/>
          <s v="Qtr3"/>
          <s v="Qtr4"/>
          <s v="&gt;08-02-2025"/>
        </groupItems>
      </fieldGroup>
    </cacheField>
    <cacheField name="Years (Order_Date)" numFmtId="0" databaseField="0">
      <fieldGroup base="9">
        <rangePr groupBy="years" startDate="2023-02-09T00:00:00" endDate="2025-02-08T00:00:00"/>
        <groupItems count="5">
          <s v="&lt;09-02-2023"/>
          <s v="2023"/>
          <s v="2024"/>
          <s v="2025"/>
          <s v="&gt;08-02-2025"/>
        </groupItems>
      </fieldGroup>
    </cacheField>
  </cacheFields>
  <extLst>
    <ext xmlns:x14="http://schemas.microsoft.com/office/spreadsheetml/2009/9/main" uri="{725AE2AE-9491-48be-B2B4-4EB974FC3084}">
      <x14:pivotCacheDefinition pivotCacheId="8255819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Anne"/>
    <s v="Oconnell"/>
    <n v="37"/>
    <x v="0"/>
    <x v="0"/>
    <s v="anne.oconnell@outlook.com"/>
    <s v="2850 Matthew Ford, North Yolandachester, FL 67488"/>
    <s v="OID2497"/>
    <x v="0"/>
    <s v="18:16:33"/>
    <x v="0"/>
    <n v="308.88"/>
    <n v="5"/>
    <x v="0"/>
    <n v="4"/>
    <n v="60"/>
    <d v="2024-03-10T00:00:00"/>
    <x v="0"/>
    <n v="3"/>
    <n v="1544.4"/>
    <n v="1604.4"/>
    <n v="0.08"/>
    <n v="128.352"/>
    <n v="1476.048"/>
    <s v="Anne Oconnell"/>
    <x v="0"/>
    <x v="0"/>
    <x v="0"/>
    <x v="0"/>
  </r>
  <r>
    <x v="1"/>
    <s v="Anthony"/>
    <s v="Thomas"/>
    <n v="53"/>
    <x v="1"/>
    <x v="1"/>
    <s v="anthony.thomas@rediffmail.com"/>
    <s v="931 Christopher Ways Suite 833, North Michelle, IN 53484"/>
    <s v="OID7056"/>
    <x v="1"/>
    <s v="01:46:33"/>
    <x v="1"/>
    <n v="166.28"/>
    <n v="4"/>
    <x v="0"/>
    <n v="7"/>
    <n v="66"/>
    <d v="2024-03-30T00:00:00"/>
    <x v="1"/>
    <n v="3"/>
    <n v="665.12"/>
    <n v="731.12"/>
    <n v="0.08"/>
    <n v="58.489600000000003"/>
    <n v="672.63040000000001"/>
    <s v="Anthony Thomas"/>
    <x v="0"/>
    <x v="0"/>
    <x v="0"/>
    <x v="1"/>
  </r>
  <r>
    <x v="2"/>
    <s v="Karl"/>
    <s v="Gallagher"/>
    <n v="60"/>
    <x v="2"/>
    <x v="0"/>
    <s v="karl.gallagher@rediffmail.com"/>
    <s v="5016 Snow Mountains Apt. 063, New Seanport, WY 41492"/>
    <s v="OID7502"/>
    <x v="2"/>
    <s v="07:31:36"/>
    <x v="2"/>
    <n v="202.54"/>
    <n v="1"/>
    <x v="1"/>
    <n v="3"/>
    <n v="47"/>
    <d v="2024-02-22T00:00:00"/>
    <x v="2"/>
    <n v="2"/>
    <n v="202.54"/>
    <n v="249.54"/>
    <n v="0.15"/>
    <n v="37.430999999999997"/>
    <n v="212.10899999999998"/>
    <s v="Karl Gallagher"/>
    <x v="0"/>
    <x v="1"/>
    <x v="0"/>
    <x v="1"/>
  </r>
  <r>
    <x v="2"/>
    <s v="Karl"/>
    <s v="Gallagher"/>
    <n v="60"/>
    <x v="2"/>
    <x v="0"/>
    <s v="karl.gallagher@rediffmail.com"/>
    <s v="5016 Snow Mountains Apt. 063, New Seanport, WY 41492"/>
    <s v="OID7077"/>
    <x v="3"/>
    <s v="18:29:21"/>
    <x v="3"/>
    <n v="405"/>
    <n v="5"/>
    <x v="2"/>
    <n v="6"/>
    <n v="47"/>
    <d v="2024-05-18T00:00:00"/>
    <x v="3"/>
    <n v="4"/>
    <n v="2025"/>
    <n v="2072"/>
    <n v="0"/>
    <n v="0"/>
    <n v="2072"/>
    <s v="Karl Gallagher"/>
    <x v="0"/>
    <x v="2"/>
    <x v="0"/>
    <x v="1"/>
  </r>
  <r>
    <x v="3"/>
    <s v="Angela"/>
    <s v="Horne"/>
    <n v="49"/>
    <x v="2"/>
    <x v="0"/>
    <s v="angela.horne@outlook.com"/>
    <s v="USNV Mueller, FPO AP 54648"/>
    <s v="OID2793"/>
    <x v="4"/>
    <s v="03:23:21"/>
    <x v="1"/>
    <n v="166.28"/>
    <n v="1"/>
    <x v="0"/>
    <n v="2"/>
    <n v="54"/>
    <d v="2024-04-13T00:00:00"/>
    <x v="4"/>
    <n v="4"/>
    <n v="166.28"/>
    <n v="220.28"/>
    <n v="0.08"/>
    <n v="17.622399999999999"/>
    <n v="202.6576"/>
    <s v="Angela Horne"/>
    <x v="1"/>
    <x v="3"/>
    <x v="0"/>
    <x v="0"/>
  </r>
  <r>
    <x v="4"/>
    <s v="Christine"/>
    <s v="West"/>
    <n v="53"/>
    <x v="2"/>
    <x v="2"/>
    <s v="christine.west@gmail.com"/>
    <s v="Unit 1433 Box 0246, DPO AP 94952"/>
    <s v="OID1483"/>
    <x v="5"/>
    <s v="16:55:06"/>
    <x v="4"/>
    <n v="330.11"/>
    <n v="4"/>
    <x v="1"/>
    <n v="6"/>
    <n v="39"/>
    <d v="2024-09-12T00:00:00"/>
    <x v="5"/>
    <n v="4"/>
    <n v="1320.44"/>
    <n v="1359.44"/>
    <n v="0.15"/>
    <n v="203.916"/>
    <n v="1155.5240000000001"/>
    <s v="Christine West"/>
    <x v="0"/>
    <x v="4"/>
    <x v="0"/>
    <x v="2"/>
  </r>
  <r>
    <x v="2"/>
    <s v="Karl"/>
    <s v="Gallagher"/>
    <n v="60"/>
    <x v="2"/>
    <x v="0"/>
    <s v="karl.gallagher@rediffmail.com"/>
    <s v="5016 Snow Mountains Apt. 063, New Seanport, WY 41492"/>
    <s v="OID4105"/>
    <x v="6"/>
    <s v="09:47:21"/>
    <x v="0"/>
    <n v="308.88"/>
    <n v="5"/>
    <x v="3"/>
    <n v="5"/>
    <n v="47"/>
    <d v="2025-01-08T00:00:00"/>
    <x v="6"/>
    <n v="3"/>
    <n v="1544.4"/>
    <n v="1591.4"/>
    <n v="0.2"/>
    <n v="318.28000000000003"/>
    <n v="1273.1200000000001"/>
    <s v="Karl Gallagher"/>
    <x v="0"/>
    <x v="5"/>
    <x v="1"/>
    <x v="1"/>
  </r>
  <r>
    <x v="5"/>
    <s v="David"/>
    <s v="Delacruz"/>
    <n v="26"/>
    <x v="1"/>
    <x v="3"/>
    <s v="david.delacruz@rediffmail.com"/>
    <s v="USNS Ray, FPO AE 20238"/>
    <s v="OID4372"/>
    <x v="7"/>
    <s v="19:27:45"/>
    <x v="5"/>
    <n v="363.64"/>
    <n v="3"/>
    <x v="4"/>
    <n v="2"/>
    <n v="70"/>
    <d v="2024-06-21T00:00:00"/>
    <x v="7"/>
    <n v="5"/>
    <n v="1090.92"/>
    <n v="1160.92"/>
    <n v="0.1"/>
    <n v="116.09200000000001"/>
    <n v="1044.828"/>
    <s v="David Delacruz"/>
    <x v="1"/>
    <x v="6"/>
    <x v="0"/>
    <x v="1"/>
  </r>
  <r>
    <x v="6"/>
    <s v="Marcus"/>
    <s v="Valenzuela"/>
    <n v="39"/>
    <x v="0"/>
    <x v="0"/>
    <s v="marcus.valenzuela@yahoo.com"/>
    <s v="694 Graham Prairie Apt. 887, Jimenezfurt, MI 33044"/>
    <s v="OID3528"/>
    <x v="8"/>
    <s v="12:07:00"/>
    <x v="6"/>
    <n v="275.44"/>
    <n v="1"/>
    <x v="0"/>
    <n v="7"/>
    <n v="63"/>
    <d v="2023-04-26T00:00:00"/>
    <x v="8"/>
    <n v="2"/>
    <n v="275.44"/>
    <n v="338.44"/>
    <n v="0.08"/>
    <n v="27.075199999999999"/>
    <n v="311.3648"/>
    <s v="Marcus Valenzuela"/>
    <x v="0"/>
    <x v="3"/>
    <x v="2"/>
    <x v="3"/>
  </r>
  <r>
    <x v="7"/>
    <s v="Debra"/>
    <s v="Rodriguez"/>
    <n v="48"/>
    <x v="2"/>
    <x v="1"/>
    <s v="debra.rodriguez@rediffmail.com"/>
    <s v="Unit 5964 Box 0721, DPO AP 01840"/>
    <s v="OID9634"/>
    <x v="9"/>
    <s v="13:46:47"/>
    <x v="7"/>
    <n v="48.45"/>
    <n v="1"/>
    <x v="1"/>
    <n v="7"/>
    <n v="59"/>
    <d v="2023-12-27T00:00:00"/>
    <x v="9"/>
    <n v="5"/>
    <n v="48.45"/>
    <n v="107.45"/>
    <n v="0.15"/>
    <n v="16.1175"/>
    <n v="91.33250000000001"/>
    <s v="Debra Rodriguez"/>
    <x v="0"/>
    <x v="7"/>
    <x v="2"/>
    <x v="1"/>
  </r>
  <r>
    <x v="2"/>
    <s v="Karl"/>
    <s v="Gallagher"/>
    <n v="60"/>
    <x v="2"/>
    <x v="0"/>
    <s v="karl.gallagher@rediffmail.com"/>
    <s v="5016 Snow Mountains Apt. 063, New Seanport, WY 41492"/>
    <s v="OID1905"/>
    <x v="10"/>
    <s v="17:21:43"/>
    <x v="5"/>
    <n v="363.64"/>
    <n v="4"/>
    <x v="2"/>
    <n v="2"/>
    <n v="35"/>
    <d v="2024-10-25T00:00:00"/>
    <x v="10"/>
    <n v="2"/>
    <n v="1454.56"/>
    <n v="1489.56"/>
    <n v="0"/>
    <n v="0"/>
    <n v="1489.56"/>
    <s v="Karl Gallagher"/>
    <x v="2"/>
    <x v="8"/>
    <x v="0"/>
    <x v="1"/>
  </r>
  <r>
    <x v="8"/>
    <s v="Bobby"/>
    <s v="Forbes"/>
    <n v="20"/>
    <x v="0"/>
    <x v="3"/>
    <s v="bobby.forbes@gmail.com"/>
    <s v="3079 John Parkway Suite 961, Port Kristaview, MT 91019"/>
    <s v="OID3136"/>
    <x v="11"/>
    <s v="15:09:49"/>
    <x v="8"/>
    <n v="257.06"/>
    <n v="3"/>
    <x v="2"/>
    <n v="7"/>
    <n v="62"/>
    <d v="2024-07-26T00:00:00"/>
    <x v="11"/>
    <n v="1"/>
    <n v="771.18000000000006"/>
    <n v="833.18000000000006"/>
    <n v="0"/>
    <n v="0"/>
    <n v="833.18000000000006"/>
    <s v="Bobby Forbes"/>
    <x v="0"/>
    <x v="9"/>
    <x v="0"/>
    <x v="2"/>
  </r>
  <r>
    <x v="9"/>
    <s v="Joseph"/>
    <s v="Stewart"/>
    <n v="30"/>
    <x v="1"/>
    <x v="1"/>
    <s v="joseph.stewart@yahoo.com"/>
    <s v="4082 Wang Terrace Suite 040, Victorialand, ME 41532"/>
    <s v="OID6886"/>
    <x v="12"/>
    <s v="22:42:51"/>
    <x v="9"/>
    <n v="175.93"/>
    <n v="4"/>
    <x v="0"/>
    <n v="3"/>
    <n v="65"/>
    <d v="2023-03-14T00:00:00"/>
    <x v="12"/>
    <n v="2"/>
    <n v="703.72"/>
    <n v="768.72"/>
    <n v="0.08"/>
    <n v="61.497600000000006"/>
    <n v="707.22239999999999"/>
    <s v="Joseph Stewart"/>
    <x v="0"/>
    <x v="0"/>
    <x v="2"/>
    <x v="3"/>
  </r>
  <r>
    <x v="10"/>
    <s v="Kara"/>
    <s v="Brennan"/>
    <n v="25"/>
    <x v="2"/>
    <x v="4"/>
    <s v="kara.brennan@outlook.com"/>
    <s v="2174 Thomas Avenue, Maciasborough, NJ 41465"/>
    <s v="OID3509"/>
    <x v="13"/>
    <s v="14:52:54"/>
    <x v="10"/>
    <n v="190.1"/>
    <n v="1"/>
    <x v="2"/>
    <n v="1"/>
    <n v="70"/>
    <d v="2023-12-10T00:00:00"/>
    <x v="13"/>
    <n v="3"/>
    <n v="190.1"/>
    <n v="260.10000000000002"/>
    <n v="0"/>
    <n v="0"/>
    <n v="260.10000000000002"/>
    <s v="Kara Brennan"/>
    <x v="1"/>
    <x v="7"/>
    <x v="2"/>
    <x v="0"/>
  </r>
  <r>
    <x v="11"/>
    <s v="Amy"/>
    <s v="Reid"/>
    <n v="44"/>
    <x v="1"/>
    <x v="3"/>
    <s v="amy.reid@rediffmail.com"/>
    <s v="6262 Simpson Village, North Danielle, RI 76074"/>
    <s v="OID3689"/>
    <x v="14"/>
    <s v="01:19:56"/>
    <x v="11"/>
    <n v="220.27"/>
    <n v="2"/>
    <x v="2"/>
    <n v="3"/>
    <n v="39"/>
    <d v="2024-03-31T00:00:00"/>
    <x v="14"/>
    <n v="5"/>
    <n v="440.54"/>
    <n v="479.54"/>
    <n v="0"/>
    <n v="0"/>
    <n v="479.54"/>
    <s v="Amy Reid"/>
    <x v="1"/>
    <x v="0"/>
    <x v="0"/>
    <x v="1"/>
  </r>
  <r>
    <x v="12"/>
    <s v="Joshua"/>
    <s v="Campbell"/>
    <n v="24"/>
    <x v="0"/>
    <x v="5"/>
    <s v="joshua.campbell@gmail.com"/>
    <s v="70426 Lindsey Overpass Apt. 030, Jessicafurt, AR 46269"/>
    <s v="OID1911"/>
    <x v="15"/>
    <s v="04:13:27"/>
    <x v="4"/>
    <n v="330.11"/>
    <n v="4"/>
    <x v="2"/>
    <n v="1"/>
    <n v="58"/>
    <d v="2023-06-03T00:00:00"/>
    <x v="15"/>
    <n v="1"/>
    <n v="1320.44"/>
    <n v="1378.44"/>
    <n v="0"/>
    <n v="0"/>
    <n v="1378.44"/>
    <s v="Joshua Campbell"/>
    <x v="2"/>
    <x v="6"/>
    <x v="2"/>
    <x v="2"/>
  </r>
  <r>
    <x v="13"/>
    <s v="Erin"/>
    <s v="Miller"/>
    <n v="46"/>
    <x v="0"/>
    <x v="6"/>
    <s v="erin.miller@gmail.com"/>
    <s v="65972 Peterson Route, Port Andrewfurt, SD 32892"/>
    <s v="OID6520"/>
    <x v="16"/>
    <s v="23:53:21"/>
    <x v="12"/>
    <n v="272.51"/>
    <n v="4"/>
    <x v="4"/>
    <n v="5"/>
    <n v="40"/>
    <d v="2023-02-13T00:00:00"/>
    <x v="16"/>
    <n v="4"/>
    <n v="1090.04"/>
    <n v="1130.04"/>
    <n v="0.1"/>
    <n v="113.004"/>
    <n v="1017.0359999999999"/>
    <s v="Erin Miller"/>
    <x v="0"/>
    <x v="1"/>
    <x v="2"/>
    <x v="2"/>
  </r>
  <r>
    <x v="14"/>
    <s v="Gina"/>
    <s v="Moreno"/>
    <n v="36"/>
    <x v="2"/>
    <x v="4"/>
    <s v="gina.moreno@rediffmail.com"/>
    <s v="USS Murray, FPO AP 66559"/>
    <s v="OID6123"/>
    <x v="17"/>
    <s v="19:16:28"/>
    <x v="13"/>
    <n v="104.18"/>
    <n v="2"/>
    <x v="2"/>
    <n v="4"/>
    <n v="44"/>
    <d v="2024-09-10T00:00:00"/>
    <x v="17"/>
    <n v="3"/>
    <n v="208.36"/>
    <n v="252.36"/>
    <n v="0"/>
    <n v="0"/>
    <n v="252.36"/>
    <s v="Gina Moreno"/>
    <x v="0"/>
    <x v="4"/>
    <x v="0"/>
    <x v="1"/>
  </r>
  <r>
    <x v="15"/>
    <s v="Mallory"/>
    <s v="Mitchell"/>
    <n v="42"/>
    <x v="1"/>
    <x v="6"/>
    <s v="mallory.mitchell@yahoo.com"/>
    <s v="710 Anthony Wall Suite 137, East Davidstad, NV 61494"/>
    <s v="OID1699"/>
    <x v="18"/>
    <s v="11:48:17"/>
    <x v="7"/>
    <n v="48.45"/>
    <n v="4"/>
    <x v="4"/>
    <n v="1"/>
    <n v="70"/>
    <d v="2025-01-13T00:00:00"/>
    <x v="18"/>
    <n v="5"/>
    <n v="193.8"/>
    <n v="263.8"/>
    <n v="0.1"/>
    <n v="26.380000000000003"/>
    <n v="237.42000000000002"/>
    <s v="Mallory Mitchell"/>
    <x v="1"/>
    <x v="5"/>
    <x v="1"/>
    <x v="3"/>
  </r>
  <r>
    <x v="16"/>
    <s v="Traci"/>
    <s v="Jones"/>
    <n v="34"/>
    <x v="0"/>
    <x v="3"/>
    <s v="traci.jones@yahoo.com"/>
    <s v="4016 Ryan Passage, Collinsside, PA 88777"/>
    <s v="OID3792"/>
    <x v="19"/>
    <s v="06:34:00"/>
    <x v="14"/>
    <n v="20.7"/>
    <n v="5"/>
    <x v="2"/>
    <n v="7"/>
    <n v="38"/>
    <d v="2024-09-26T00:00:00"/>
    <x v="19"/>
    <n v="5"/>
    <n v="103.5"/>
    <n v="141.5"/>
    <n v="0"/>
    <n v="0"/>
    <n v="141.5"/>
    <s v="Traci Jones"/>
    <x v="0"/>
    <x v="4"/>
    <x v="0"/>
    <x v="3"/>
  </r>
  <r>
    <x v="17"/>
    <s v="Deborah"/>
    <s v="Bates"/>
    <n v="23"/>
    <x v="0"/>
    <x v="3"/>
    <s v="deborah.bates@yahoo.com"/>
    <s v="278 Kathy Estate, Saraville, OH 77292"/>
    <s v="OID7663"/>
    <x v="20"/>
    <s v="04:06:55"/>
    <x v="0"/>
    <n v="308.88"/>
    <n v="3"/>
    <x v="4"/>
    <n v="7"/>
    <n v="43"/>
    <d v="2024-08-17T00:00:00"/>
    <x v="20"/>
    <n v="1"/>
    <n v="926.64"/>
    <n v="969.64"/>
    <n v="0.1"/>
    <n v="96.963999999999999"/>
    <n v="872.67599999999993"/>
    <s v="Deborah Bates"/>
    <x v="0"/>
    <x v="10"/>
    <x v="0"/>
    <x v="3"/>
  </r>
  <r>
    <x v="18"/>
    <s v="Christian"/>
    <s v="Clayton"/>
    <n v="39"/>
    <x v="1"/>
    <x v="5"/>
    <s v="christian.clayton@yahoo.com"/>
    <s v="065 Madison Way, Smithstad, CT 68011"/>
    <s v="OID7609"/>
    <x v="21"/>
    <s v="10:38:12"/>
    <x v="13"/>
    <n v="104.18"/>
    <n v="5"/>
    <x v="0"/>
    <n v="5"/>
    <n v="58"/>
    <d v="2024-03-05T00:00:00"/>
    <x v="21"/>
    <n v="4"/>
    <n v="520.90000000000009"/>
    <n v="578.90000000000009"/>
    <n v="0.08"/>
    <n v="46.312000000000005"/>
    <n v="532.58800000000008"/>
    <s v="Christian Clayton"/>
    <x v="0"/>
    <x v="0"/>
    <x v="0"/>
    <x v="3"/>
  </r>
  <r>
    <x v="19"/>
    <s v="Mark"/>
    <s v="Henderson"/>
    <n v="33"/>
    <x v="2"/>
    <x v="7"/>
    <s v="mark.henderson@yahoo.com"/>
    <s v="90155 Hines Spring, North Theresafurt, ME 31920"/>
    <s v="OID8875"/>
    <x v="22"/>
    <s v="20:47:13"/>
    <x v="15"/>
    <n v="461.07"/>
    <n v="1"/>
    <x v="0"/>
    <n v="1"/>
    <n v="56"/>
    <d v="2023-07-19T00:00:00"/>
    <x v="22"/>
    <n v="1"/>
    <n v="461.07"/>
    <n v="517.06999999999994"/>
    <n v="0.08"/>
    <n v="41.365599999999993"/>
    <n v="475.70439999999996"/>
    <s v="Mark Henderson"/>
    <x v="2"/>
    <x v="9"/>
    <x v="2"/>
    <x v="3"/>
  </r>
  <r>
    <x v="20"/>
    <s v="John"/>
    <s v="Herrera"/>
    <n v="64"/>
    <x v="1"/>
    <x v="1"/>
    <s v="john.herrera@outlook.com"/>
    <s v="61263 Jacob Isle, Amandatown, TN 34321"/>
    <s v="OID4032"/>
    <x v="23"/>
    <s v="08:09:52"/>
    <x v="16"/>
    <n v="132.97"/>
    <n v="1"/>
    <x v="1"/>
    <n v="4"/>
    <n v="55"/>
    <d v="2023-09-29T00:00:00"/>
    <x v="23"/>
    <n v="4"/>
    <n v="132.97"/>
    <n v="187.97"/>
    <n v="0.15"/>
    <n v="28.195499999999999"/>
    <n v="159.77449999999999"/>
    <s v="John Herrera"/>
    <x v="2"/>
    <x v="4"/>
    <x v="2"/>
    <x v="0"/>
  </r>
  <r>
    <x v="21"/>
    <s v="Angela"/>
    <s v="Evans"/>
    <n v="52"/>
    <x v="2"/>
    <x v="1"/>
    <s v="angela.evans@outlook.com"/>
    <s v="16031 David Mountain Suite 431, Susanborough, PA 01910"/>
    <s v="OID9964"/>
    <x v="24"/>
    <s v="19:13:06"/>
    <x v="17"/>
    <n v="126.19"/>
    <n v="2"/>
    <x v="2"/>
    <n v="3"/>
    <n v="63"/>
    <d v="2023-08-12T00:00:00"/>
    <x v="24"/>
    <n v="4"/>
    <n v="252.38"/>
    <n v="315.38"/>
    <n v="0"/>
    <n v="0"/>
    <n v="315.38"/>
    <s v="Angela Evans"/>
    <x v="1"/>
    <x v="10"/>
    <x v="2"/>
    <x v="0"/>
  </r>
  <r>
    <x v="21"/>
    <s v="Angela"/>
    <s v="Evans"/>
    <n v="52"/>
    <x v="2"/>
    <x v="1"/>
    <s v="angela.evans@outlook.com"/>
    <s v="16031 David Mountain Suite 431, Susanborough, PA 01910"/>
    <s v="OID2121"/>
    <x v="25"/>
    <s v="06:04:50"/>
    <x v="18"/>
    <n v="282.63"/>
    <n v="3"/>
    <x v="2"/>
    <n v="2"/>
    <n v="40"/>
    <d v="2023-08-04T00:00:00"/>
    <x v="25"/>
    <n v="4"/>
    <n v="847.89"/>
    <n v="887.89"/>
    <n v="0"/>
    <n v="0"/>
    <n v="887.89"/>
    <s v="Angela Evans"/>
    <x v="1"/>
    <x v="9"/>
    <x v="2"/>
    <x v="0"/>
  </r>
  <r>
    <x v="8"/>
    <s v="Bobby"/>
    <s v="Forbes"/>
    <n v="20"/>
    <x v="0"/>
    <x v="3"/>
    <s v="bobby.forbes@gmail.com"/>
    <s v="3079 John Parkway Suite 961, Port Kristaview, MT 91019"/>
    <s v="OID4710"/>
    <x v="26"/>
    <s v="17:44:17"/>
    <x v="19"/>
    <n v="128.13999999999999"/>
    <n v="3"/>
    <x v="0"/>
    <n v="4"/>
    <n v="70"/>
    <d v="2023-05-23T00:00:00"/>
    <x v="26"/>
    <n v="3"/>
    <n v="384.41999999999996"/>
    <n v="454.41999999999996"/>
    <n v="0.08"/>
    <n v="36.3536"/>
    <n v="418.06639999999993"/>
    <s v="Bobby Forbes"/>
    <x v="0"/>
    <x v="2"/>
    <x v="2"/>
    <x v="2"/>
  </r>
  <r>
    <x v="8"/>
    <s v="Bobby"/>
    <s v="Forbes"/>
    <n v="20"/>
    <x v="0"/>
    <x v="3"/>
    <s v="bobby.forbes@gmail.com"/>
    <s v="3079 John Parkway Suite 961, Port Kristaview, MT 91019"/>
    <s v="OID4295"/>
    <x v="27"/>
    <s v="18:58:15"/>
    <x v="5"/>
    <n v="363.64"/>
    <n v="3"/>
    <x v="3"/>
    <n v="5"/>
    <n v="39"/>
    <d v="2023-09-20T00:00:00"/>
    <x v="27"/>
    <n v="4"/>
    <n v="1090.92"/>
    <n v="1129.92"/>
    <n v="0.2"/>
    <n v="225.98400000000004"/>
    <n v="903.93600000000004"/>
    <s v="Bobby Forbes"/>
    <x v="0"/>
    <x v="4"/>
    <x v="2"/>
    <x v="2"/>
  </r>
  <r>
    <x v="22"/>
    <s v="Ashley"/>
    <s v="Rose"/>
    <n v="60"/>
    <x v="2"/>
    <x v="0"/>
    <s v="ashley.rose@gmail.com"/>
    <s v="424 Nichols Curve Suite 177, Lake Brianview, TX 17289"/>
    <s v="OID2817"/>
    <x v="28"/>
    <s v="12:22:52"/>
    <x v="5"/>
    <n v="363.64"/>
    <n v="2"/>
    <x v="1"/>
    <n v="1"/>
    <n v="43"/>
    <d v="2023-03-03T00:00:00"/>
    <x v="28"/>
    <n v="1"/>
    <n v="727.28"/>
    <n v="770.28"/>
    <n v="0.15"/>
    <n v="115.54199999999999"/>
    <n v="654.73799999999994"/>
    <s v="Ashley Rose"/>
    <x v="2"/>
    <x v="0"/>
    <x v="2"/>
    <x v="2"/>
  </r>
  <r>
    <x v="23"/>
    <s v="Taylor"/>
    <s v="Davis"/>
    <n v="54"/>
    <x v="1"/>
    <x v="0"/>
    <s v="taylor.davis@yahoo.com"/>
    <s v="USCGC Simmons, FPO AA 60167"/>
    <s v="OID4643"/>
    <x v="29"/>
    <s v="00:40:20"/>
    <x v="20"/>
    <n v="62.42"/>
    <n v="1"/>
    <x v="2"/>
    <n v="3"/>
    <n v="58"/>
    <d v="2023-10-30T00:00:00"/>
    <x v="29"/>
    <n v="5"/>
    <n v="62.42"/>
    <n v="120.42"/>
    <n v="0"/>
    <n v="0"/>
    <n v="120.42"/>
    <s v="Taylor Davis"/>
    <x v="1"/>
    <x v="8"/>
    <x v="2"/>
    <x v="3"/>
  </r>
  <r>
    <x v="24"/>
    <s v="Lauren"/>
    <s v="Long"/>
    <n v="44"/>
    <x v="0"/>
    <x v="7"/>
    <s v="lauren.long@gmail.com"/>
    <s v="258 Michael Brooks Suite 363, Arnoldview, PA 49438"/>
    <s v="OID4558"/>
    <x v="30"/>
    <s v="21:19:14"/>
    <x v="16"/>
    <n v="132.97"/>
    <n v="1"/>
    <x v="2"/>
    <n v="6"/>
    <n v="57"/>
    <d v="2024-04-14T00:00:00"/>
    <x v="30"/>
    <n v="7"/>
    <n v="132.97"/>
    <n v="189.97"/>
    <n v="0"/>
    <n v="0"/>
    <n v="189.97"/>
    <s v="Lauren Long"/>
    <x v="1"/>
    <x v="3"/>
    <x v="0"/>
    <x v="2"/>
  </r>
  <r>
    <x v="25"/>
    <s v="Teresa"/>
    <s v="Harvey"/>
    <n v="64"/>
    <x v="2"/>
    <x v="0"/>
    <s v="teresa.harvey@gmail.com"/>
    <s v="02669 Kirk Squares, Davisville, VA 51272"/>
    <s v="OID9577"/>
    <x v="31"/>
    <s v="10:35:41"/>
    <x v="21"/>
    <n v="157.63999999999999"/>
    <n v="4"/>
    <x v="3"/>
    <n v="7"/>
    <n v="59"/>
    <d v="2023-04-30T00:00:00"/>
    <x v="31"/>
    <n v="7"/>
    <n v="630.55999999999995"/>
    <n v="689.56"/>
    <n v="0.2"/>
    <n v="137.91200000000001"/>
    <n v="551.64799999999991"/>
    <s v="Teresa Harvey"/>
    <x v="2"/>
    <x v="3"/>
    <x v="2"/>
    <x v="2"/>
  </r>
  <r>
    <x v="24"/>
    <s v="Lauren"/>
    <s v="Long"/>
    <n v="44"/>
    <x v="0"/>
    <x v="7"/>
    <s v="lauren.long@gmail.com"/>
    <s v="258 Michael Brooks Suite 363, Arnoldview, PA 49438"/>
    <s v="OID5502"/>
    <x v="32"/>
    <s v="13:50:14"/>
    <x v="22"/>
    <n v="158.53"/>
    <n v="5"/>
    <x v="3"/>
    <n v="3"/>
    <n v="42"/>
    <d v="2024-09-18T00:00:00"/>
    <x v="32"/>
    <n v="5"/>
    <n v="792.65"/>
    <n v="834.65"/>
    <n v="0.2"/>
    <n v="166.93"/>
    <n v="667.72"/>
    <s v="Lauren Long"/>
    <x v="1"/>
    <x v="4"/>
    <x v="0"/>
    <x v="2"/>
  </r>
  <r>
    <x v="26"/>
    <s v="Heather"/>
    <s v="Schneider"/>
    <n v="48"/>
    <x v="1"/>
    <x v="3"/>
    <s v="heather.schneider@outlook.com"/>
    <s v="57940 Susan Creek Apt. 541, Port Aliciamouth, OR 90221"/>
    <s v="OID6974"/>
    <x v="33"/>
    <s v="01:48:02"/>
    <x v="20"/>
    <n v="62.42"/>
    <n v="3"/>
    <x v="0"/>
    <n v="4"/>
    <n v="36"/>
    <d v="2024-05-02T00:00:00"/>
    <x v="33"/>
    <n v="7"/>
    <n v="187.26"/>
    <n v="223.26"/>
    <n v="0.08"/>
    <n v="17.860800000000001"/>
    <n v="205.39919999999998"/>
    <s v="Heather Schneider"/>
    <x v="1"/>
    <x v="3"/>
    <x v="0"/>
    <x v="0"/>
  </r>
  <r>
    <x v="27"/>
    <s v="Valerie"/>
    <s v="Carr"/>
    <n v="26"/>
    <x v="2"/>
    <x v="6"/>
    <s v="valerie.carr@rediffmail.com"/>
    <s v="981 Emily Stream, South Brianna, CO 98063"/>
    <s v="OID2701"/>
    <x v="34"/>
    <s v="14:37:48"/>
    <x v="23"/>
    <n v="129.75"/>
    <n v="1"/>
    <x v="4"/>
    <n v="5"/>
    <n v="70"/>
    <d v="2023-09-03T00:00:00"/>
    <x v="34"/>
    <n v="4"/>
    <n v="129.75"/>
    <n v="199.75"/>
    <n v="0.1"/>
    <n v="19.975000000000001"/>
    <n v="179.77500000000001"/>
    <s v="Valerie Carr"/>
    <x v="0"/>
    <x v="10"/>
    <x v="2"/>
    <x v="1"/>
  </r>
  <r>
    <x v="21"/>
    <s v="Angela"/>
    <s v="Evans"/>
    <n v="52"/>
    <x v="2"/>
    <x v="1"/>
    <s v="angela.evans@outlook.com"/>
    <s v="16031 David Mountain Suite 431, Susanborough, PA 01910"/>
    <s v="OID4432"/>
    <x v="35"/>
    <s v="05:01:37"/>
    <x v="21"/>
    <n v="157.63999999999999"/>
    <n v="5"/>
    <x v="0"/>
    <n v="4"/>
    <n v="53"/>
    <d v="2023-11-16T00:00:00"/>
    <x v="35"/>
    <n v="2"/>
    <n v="788.19999999999993"/>
    <n v="841.19999999999993"/>
    <n v="0.08"/>
    <n v="67.295999999999992"/>
    <n v="773.904"/>
    <s v="Angela Evans"/>
    <x v="0"/>
    <x v="11"/>
    <x v="2"/>
    <x v="0"/>
  </r>
  <r>
    <x v="3"/>
    <s v="Angela"/>
    <s v="Horne"/>
    <n v="49"/>
    <x v="2"/>
    <x v="0"/>
    <s v="angela.horne@outlook.com"/>
    <s v="USNV Mueller, FPO AP 54648"/>
    <s v="OID3502"/>
    <x v="36"/>
    <s v="12:35:46"/>
    <x v="14"/>
    <n v="20.7"/>
    <n v="5"/>
    <x v="2"/>
    <n v="2"/>
    <n v="64"/>
    <d v="2023-11-18T00:00:00"/>
    <x v="36"/>
    <n v="6"/>
    <n v="103.5"/>
    <n v="167.5"/>
    <n v="0"/>
    <n v="0"/>
    <n v="167.5"/>
    <s v="Angela Horne"/>
    <x v="1"/>
    <x v="11"/>
    <x v="2"/>
    <x v="0"/>
  </r>
  <r>
    <x v="28"/>
    <s v="Jenny"/>
    <s v="Estrada"/>
    <n v="45"/>
    <x v="0"/>
    <x v="1"/>
    <s v="jenny.estrada@yahoo.com"/>
    <s v="792 Carlos Islands, West David, CT 16522"/>
    <s v="OID4411"/>
    <x v="37"/>
    <s v="23:34:14"/>
    <x v="24"/>
    <n v="481.48"/>
    <n v="2"/>
    <x v="1"/>
    <n v="3"/>
    <n v="50"/>
    <d v="2023-09-27T00:00:00"/>
    <x v="37"/>
    <n v="3"/>
    <n v="962.96"/>
    <n v="1012.96"/>
    <n v="0.15"/>
    <n v="151.94399999999999"/>
    <n v="861.01600000000008"/>
    <s v="Jenny Estrada"/>
    <x v="2"/>
    <x v="4"/>
    <x v="2"/>
    <x v="3"/>
  </r>
  <r>
    <x v="29"/>
    <s v="Courtney"/>
    <s v="Parker"/>
    <n v="29"/>
    <x v="2"/>
    <x v="3"/>
    <s v="courtney.parker@yahoo.com"/>
    <s v="087 Jacqueline Rue Apt. 694, East Tasha, SC 04859"/>
    <s v="OID6304"/>
    <x v="38"/>
    <s v="04:09:40"/>
    <x v="3"/>
    <n v="405"/>
    <n v="1"/>
    <x v="2"/>
    <n v="7"/>
    <n v="36"/>
    <d v="2025-01-04T00:00:00"/>
    <x v="38"/>
    <n v="5"/>
    <n v="405"/>
    <n v="441"/>
    <n v="0"/>
    <n v="0"/>
    <n v="441"/>
    <s v="Courtney Parker"/>
    <x v="0"/>
    <x v="7"/>
    <x v="0"/>
    <x v="3"/>
  </r>
  <r>
    <x v="30"/>
    <s v="Julie"/>
    <s v="Meyer"/>
    <n v="23"/>
    <x v="0"/>
    <x v="0"/>
    <s v="julie.meyer@yahoo.com"/>
    <s v="17381 Smith Ramp Suite 398, Courtneyville, AL 17756"/>
    <s v="OID5126"/>
    <x v="39"/>
    <s v="04:03:43"/>
    <x v="25"/>
    <n v="77.84"/>
    <n v="5"/>
    <x v="2"/>
    <n v="4"/>
    <n v="47"/>
    <d v="2024-10-10T00:00:00"/>
    <x v="39"/>
    <n v="1"/>
    <n v="389.20000000000005"/>
    <n v="436.20000000000005"/>
    <n v="0"/>
    <n v="0"/>
    <n v="436.20000000000005"/>
    <s v="Julie Meyer"/>
    <x v="0"/>
    <x v="8"/>
    <x v="0"/>
    <x v="3"/>
  </r>
  <r>
    <x v="3"/>
    <s v="Angela"/>
    <s v="Horne"/>
    <n v="49"/>
    <x v="2"/>
    <x v="0"/>
    <s v="angela.horne@outlook.com"/>
    <s v="USNV Mueller, FPO AP 54648"/>
    <s v="OID8577"/>
    <x v="40"/>
    <s v="00:47:19"/>
    <x v="26"/>
    <n v="372.62"/>
    <n v="3"/>
    <x v="0"/>
    <n v="3"/>
    <n v="59"/>
    <d v="2024-09-29T00:00:00"/>
    <x v="40"/>
    <n v="7"/>
    <n v="1117.8600000000001"/>
    <n v="1176.8600000000001"/>
    <n v="0.08"/>
    <n v="94.148800000000008"/>
    <n v="1082.7112000000002"/>
    <s v="Angela Horne"/>
    <x v="1"/>
    <x v="4"/>
    <x v="0"/>
    <x v="0"/>
  </r>
  <r>
    <x v="11"/>
    <s v="Amy"/>
    <s v="Reid"/>
    <n v="44"/>
    <x v="1"/>
    <x v="3"/>
    <s v="amy.reid@rediffmail.com"/>
    <s v="6262 Simpson Village, North Danielle, RI 76074"/>
    <s v="OID7688"/>
    <x v="41"/>
    <s v="12:37:23"/>
    <x v="26"/>
    <n v="372.62"/>
    <n v="3"/>
    <x v="0"/>
    <n v="1"/>
    <n v="52"/>
    <d v="2024-10-10T00:00:00"/>
    <x v="41"/>
    <n v="7"/>
    <n v="1117.8600000000001"/>
    <n v="1169.8600000000001"/>
    <n v="0.08"/>
    <n v="93.588800000000006"/>
    <n v="1076.2712000000001"/>
    <s v="Amy Reid"/>
    <x v="1"/>
    <x v="8"/>
    <x v="0"/>
    <x v="1"/>
  </r>
  <r>
    <x v="31"/>
    <s v="Donna"/>
    <s v="Oneill"/>
    <n v="70"/>
    <x v="0"/>
    <x v="6"/>
    <s v="donna.oneill@yahoo.com"/>
    <s v="464 Carolyn Crest Suite 738, Lake Isaiah, CA 66153"/>
    <s v="OID4670"/>
    <x v="42"/>
    <s v="17:27:33"/>
    <x v="27"/>
    <n v="496.59"/>
    <n v="3"/>
    <x v="1"/>
    <n v="4"/>
    <n v="49"/>
    <d v="2023-08-14T00:00:00"/>
    <x v="42"/>
    <n v="1"/>
    <n v="1489.77"/>
    <n v="1538.77"/>
    <n v="0.15"/>
    <n v="230.81549999999999"/>
    <n v="1307.9545000000001"/>
    <s v="Donna Oneill"/>
    <x v="0"/>
    <x v="10"/>
    <x v="2"/>
    <x v="3"/>
  </r>
  <r>
    <x v="32"/>
    <s v="Robert"/>
    <s v="Castillo"/>
    <n v="32"/>
    <x v="1"/>
    <x v="6"/>
    <s v="robert.castillo@gmail.com"/>
    <s v="7143 Brandon Skyway Suite 899, Tylerton, IA 21756"/>
    <s v="OID3319"/>
    <x v="43"/>
    <s v="01:59:03"/>
    <x v="23"/>
    <n v="129.75"/>
    <n v="1"/>
    <x v="4"/>
    <n v="6"/>
    <n v="43"/>
    <d v="2023-04-10T00:00:00"/>
    <x v="43"/>
    <n v="6"/>
    <n v="129.75"/>
    <n v="172.75"/>
    <n v="0.1"/>
    <n v="17.275000000000002"/>
    <n v="155.47499999999999"/>
    <s v="Robert Castillo"/>
    <x v="2"/>
    <x v="3"/>
    <x v="2"/>
    <x v="2"/>
  </r>
  <r>
    <x v="33"/>
    <s v="Timothy"/>
    <s v="Hicks"/>
    <n v="31"/>
    <x v="2"/>
    <x v="4"/>
    <s v="timothy.hicks@gmail.com"/>
    <s v="140 Tracy Fields, Lake Cynthiaton, TX 57190"/>
    <s v="OID6911"/>
    <x v="44"/>
    <s v="21:46:52"/>
    <x v="10"/>
    <n v="190.1"/>
    <n v="5"/>
    <x v="0"/>
    <n v="5"/>
    <n v="35"/>
    <d v="2024-02-19T00:00:00"/>
    <x v="44"/>
    <n v="5"/>
    <n v="950.5"/>
    <n v="985.5"/>
    <n v="0.08"/>
    <n v="78.84"/>
    <n v="906.66"/>
    <s v="Timothy Hicks"/>
    <x v="2"/>
    <x v="1"/>
    <x v="0"/>
    <x v="2"/>
  </r>
  <r>
    <x v="34"/>
    <s v="Thomas"/>
    <s v="Andersen"/>
    <n v="50"/>
    <x v="2"/>
    <x v="4"/>
    <s v="thomas.andersen@yahoo.com"/>
    <s v="480 Summers Lock Suite 819, Sarahborough, IA 59863"/>
    <s v="OID8494"/>
    <x v="28"/>
    <s v="18:49:59"/>
    <x v="10"/>
    <n v="190.1"/>
    <n v="1"/>
    <x v="3"/>
    <n v="4"/>
    <n v="63"/>
    <d v="2023-03-07T00:00:00"/>
    <x v="45"/>
    <n v="5"/>
    <n v="190.1"/>
    <n v="253.1"/>
    <n v="0.2"/>
    <n v="50.620000000000005"/>
    <n v="202.48"/>
    <s v="Thomas Andersen"/>
    <x v="1"/>
    <x v="0"/>
    <x v="2"/>
    <x v="3"/>
  </r>
  <r>
    <x v="27"/>
    <s v="Valerie"/>
    <s v="Carr"/>
    <n v="26"/>
    <x v="2"/>
    <x v="6"/>
    <s v="valerie.carr@rediffmail.com"/>
    <s v="981 Emily Stream, South Brianna, CO 98063"/>
    <s v="OID6898"/>
    <x v="45"/>
    <s v="22:08:17"/>
    <x v="28"/>
    <n v="431.44"/>
    <n v="5"/>
    <x v="0"/>
    <n v="2"/>
    <n v="57"/>
    <d v="2024-01-27T00:00:00"/>
    <x v="46"/>
    <n v="5"/>
    <n v="2157.1999999999998"/>
    <n v="2214.1999999999998"/>
    <n v="0.08"/>
    <n v="177.136"/>
    <n v="2037.0639999999999"/>
    <s v="Valerie Carr"/>
    <x v="1"/>
    <x v="5"/>
    <x v="0"/>
    <x v="1"/>
  </r>
  <r>
    <x v="35"/>
    <s v="Aaron"/>
    <s v="Thompson"/>
    <n v="47"/>
    <x v="1"/>
    <x v="3"/>
    <s v="aaron.thompson@gmail.com"/>
    <s v="PSC 0550, Box 2737, APO AE 75772"/>
    <s v="OID7606"/>
    <x v="46"/>
    <s v="19:20:51"/>
    <x v="21"/>
    <n v="157.63999999999999"/>
    <n v="4"/>
    <x v="0"/>
    <n v="4"/>
    <n v="44"/>
    <d v="2023-05-15T00:00:00"/>
    <x v="47"/>
    <n v="7"/>
    <n v="630.55999999999995"/>
    <n v="674.56"/>
    <n v="0.08"/>
    <n v="53.964799999999997"/>
    <n v="620.59519999999998"/>
    <s v="Aaron Thompson"/>
    <x v="1"/>
    <x v="2"/>
    <x v="2"/>
    <x v="2"/>
  </r>
  <r>
    <x v="36"/>
    <s v="Jason"/>
    <s v="Lopez"/>
    <n v="40"/>
    <x v="2"/>
    <x v="6"/>
    <s v="jason.lopez@outlook.com"/>
    <s v="934 Levine View, Brentport, NE 38210"/>
    <s v="OID6503"/>
    <x v="47"/>
    <s v="00:57:17"/>
    <x v="1"/>
    <n v="166.28"/>
    <n v="4"/>
    <x v="2"/>
    <n v="3"/>
    <n v="41"/>
    <d v="2024-11-30T00:00:00"/>
    <x v="48"/>
    <n v="6"/>
    <n v="665.12"/>
    <n v="706.12"/>
    <n v="0"/>
    <n v="0"/>
    <n v="706.12"/>
    <s v="Jason Lopez"/>
    <x v="1"/>
    <x v="11"/>
    <x v="0"/>
    <x v="0"/>
  </r>
  <r>
    <x v="37"/>
    <s v="Alexandra"/>
    <s v="Smith"/>
    <n v="70"/>
    <x v="0"/>
    <x v="0"/>
    <s v="alexandra.smith@rediffmail.com"/>
    <s v="48611 Clark Village, West Anne, GA 92865"/>
    <s v="OID3616"/>
    <x v="48"/>
    <s v="04:25:34"/>
    <x v="14"/>
    <n v="20.7"/>
    <n v="2"/>
    <x v="4"/>
    <n v="2"/>
    <n v="50"/>
    <d v="2024-09-12T00:00:00"/>
    <x v="49"/>
    <n v="2"/>
    <n v="41.4"/>
    <n v="91.4"/>
    <n v="0.1"/>
    <n v="9.14"/>
    <n v="82.26"/>
    <s v="Alexandra Smith"/>
    <x v="2"/>
    <x v="4"/>
    <x v="0"/>
    <x v="1"/>
  </r>
  <r>
    <x v="31"/>
    <s v="Donna"/>
    <s v="Oneill"/>
    <n v="70"/>
    <x v="0"/>
    <x v="6"/>
    <s v="donna.oneill@yahoo.com"/>
    <s v="464 Carolyn Crest Suite 738, Lake Isaiah, CA 66153"/>
    <s v="OID2170"/>
    <x v="29"/>
    <s v="07:52:23"/>
    <x v="23"/>
    <n v="129.75"/>
    <n v="2"/>
    <x v="3"/>
    <n v="5"/>
    <n v="42"/>
    <d v="2023-10-28T00:00:00"/>
    <x v="50"/>
    <n v="3"/>
    <n v="259.5"/>
    <n v="301.5"/>
    <n v="0.2"/>
    <n v="60.300000000000004"/>
    <n v="241.2"/>
    <s v="Donna Oneill"/>
    <x v="0"/>
    <x v="8"/>
    <x v="2"/>
    <x v="3"/>
  </r>
  <r>
    <x v="38"/>
    <s v="John"/>
    <s v="Ramirez"/>
    <n v="28"/>
    <x v="2"/>
    <x v="4"/>
    <s v="john.ramirez@outlook.com"/>
    <s v="02797 Martin Landing, South Michelle, VT 98781"/>
    <s v="OID1956"/>
    <x v="49"/>
    <s v="15:34:34"/>
    <x v="29"/>
    <n v="44.5"/>
    <n v="4"/>
    <x v="0"/>
    <n v="2"/>
    <n v="40"/>
    <d v="2024-03-17T00:00:00"/>
    <x v="51"/>
    <n v="3"/>
    <n v="178"/>
    <n v="218"/>
    <n v="0.08"/>
    <n v="17.440000000000001"/>
    <n v="200.56"/>
    <s v="John Ramirez"/>
    <x v="1"/>
    <x v="0"/>
    <x v="0"/>
    <x v="0"/>
  </r>
  <r>
    <x v="39"/>
    <s v="Amanda"/>
    <s v="Howard"/>
    <n v="52"/>
    <x v="2"/>
    <x v="7"/>
    <s v="amanda.howard@outlook.com"/>
    <s v="56908 Sydney Park Suite 632, West Anthonyport, NC 15954"/>
    <s v="OID8620"/>
    <x v="50"/>
    <s v="01:45:28"/>
    <x v="19"/>
    <n v="128.13999999999999"/>
    <n v="5"/>
    <x v="1"/>
    <n v="2"/>
    <n v="57"/>
    <d v="2023-08-09T00:00:00"/>
    <x v="52"/>
    <n v="2"/>
    <n v="640.69999999999993"/>
    <n v="697.69999999999993"/>
    <n v="0.15"/>
    <n v="104.65499999999999"/>
    <n v="593.04499999999996"/>
    <s v="Amanda Howard"/>
    <x v="2"/>
    <x v="10"/>
    <x v="2"/>
    <x v="0"/>
  </r>
  <r>
    <x v="27"/>
    <s v="Valerie"/>
    <s v="Carr"/>
    <n v="26"/>
    <x v="2"/>
    <x v="6"/>
    <s v="valerie.carr@rediffmail.com"/>
    <s v="981 Emily Stream, South Brianna, CO 98063"/>
    <s v="OID4770"/>
    <x v="51"/>
    <s v="12:30:02"/>
    <x v="30"/>
    <n v="369.03"/>
    <n v="2"/>
    <x v="4"/>
    <n v="4"/>
    <n v="46"/>
    <d v="2024-01-27T00:00:00"/>
    <x v="53"/>
    <n v="6"/>
    <n v="738.06"/>
    <n v="784.06"/>
    <n v="0.1"/>
    <n v="78.406000000000006"/>
    <n v="705.654"/>
    <s v="Valerie Carr"/>
    <x v="1"/>
    <x v="5"/>
    <x v="0"/>
    <x v="1"/>
  </r>
  <r>
    <x v="38"/>
    <s v="John"/>
    <s v="Ramirez"/>
    <n v="28"/>
    <x v="2"/>
    <x v="4"/>
    <s v="john.ramirez@outlook.com"/>
    <s v="02797 Martin Landing, South Michelle, VT 98781"/>
    <s v="OID9880"/>
    <x v="52"/>
    <s v="04:32:42"/>
    <x v="5"/>
    <n v="363.64"/>
    <n v="1"/>
    <x v="4"/>
    <n v="3"/>
    <n v="70"/>
    <d v="2024-11-10T00:00:00"/>
    <x v="54"/>
    <n v="7"/>
    <n v="363.64"/>
    <n v="433.64"/>
    <n v="0.1"/>
    <n v="43.364000000000004"/>
    <n v="390.27599999999995"/>
    <s v="John Ramirez"/>
    <x v="1"/>
    <x v="11"/>
    <x v="0"/>
    <x v="0"/>
  </r>
  <r>
    <x v="40"/>
    <s v="Mary"/>
    <s v="Knight"/>
    <n v="28"/>
    <x v="2"/>
    <x v="2"/>
    <s v="mary.knight@yahoo.com"/>
    <s v="907 Kimberly Hill, Murrayfort, NH 88384"/>
    <s v="OID2152"/>
    <x v="53"/>
    <s v="14:13:38"/>
    <x v="3"/>
    <n v="405"/>
    <n v="1"/>
    <x v="2"/>
    <n v="5"/>
    <n v="44"/>
    <d v="2023-11-03T00:00:00"/>
    <x v="55"/>
    <n v="4"/>
    <n v="405"/>
    <n v="449"/>
    <n v="0"/>
    <n v="0"/>
    <n v="449"/>
    <s v="Mary Knight"/>
    <x v="0"/>
    <x v="8"/>
    <x v="2"/>
    <x v="3"/>
  </r>
  <r>
    <x v="41"/>
    <s v="Marcus"/>
    <s v="Rogers"/>
    <n v="36"/>
    <x v="1"/>
    <x v="0"/>
    <s v="marcus.rogers@outlook.com"/>
    <s v="06912 Brown Pine Apt. 763, Teresamouth, HI 24377"/>
    <s v="OID2991"/>
    <x v="54"/>
    <s v="02:09:48"/>
    <x v="20"/>
    <n v="62.42"/>
    <n v="2"/>
    <x v="1"/>
    <n v="1"/>
    <n v="53"/>
    <d v="2023-08-16T00:00:00"/>
    <x v="56"/>
    <n v="5"/>
    <n v="124.84"/>
    <n v="177.84"/>
    <n v="0.15"/>
    <n v="26.675999999999998"/>
    <n v="151.16400000000002"/>
    <s v="Marcus Rogers"/>
    <x v="1"/>
    <x v="10"/>
    <x v="2"/>
    <x v="0"/>
  </r>
  <r>
    <x v="42"/>
    <s v="Brian"/>
    <s v="Kennedy"/>
    <n v="69"/>
    <x v="0"/>
    <x v="0"/>
    <s v="brian.kennedy@outlook.com"/>
    <s v="25126 Nancy Fort Suite 568, Alexandrachester, AZ 44823"/>
    <s v="OID5607"/>
    <x v="55"/>
    <s v="16:10:50"/>
    <x v="14"/>
    <n v="20.7"/>
    <n v="5"/>
    <x v="1"/>
    <n v="7"/>
    <n v="57"/>
    <d v="2023-10-19T00:00:00"/>
    <x v="57"/>
    <n v="5"/>
    <n v="103.5"/>
    <n v="160.5"/>
    <n v="0.15"/>
    <n v="24.074999999999999"/>
    <n v="136.42500000000001"/>
    <s v="Brian Kennedy"/>
    <x v="0"/>
    <x v="8"/>
    <x v="2"/>
    <x v="0"/>
  </r>
  <r>
    <x v="43"/>
    <s v="Rebecca"/>
    <s v="Figueroa"/>
    <n v="63"/>
    <x v="0"/>
    <x v="4"/>
    <s v="rebecca.figueroa@outlook.com"/>
    <s v="3959 Bell Dale, North Jacob, LA 07934"/>
    <s v="OID8169"/>
    <x v="56"/>
    <s v="09:43:27"/>
    <x v="5"/>
    <n v="363.64"/>
    <n v="3"/>
    <x v="4"/>
    <n v="6"/>
    <n v="69"/>
    <d v="2025-01-05T00:00:00"/>
    <x v="58"/>
    <n v="7"/>
    <n v="1090.92"/>
    <n v="1159.92"/>
    <n v="0.1"/>
    <n v="115.99200000000002"/>
    <n v="1043.9280000000001"/>
    <s v="Rebecca Figueroa"/>
    <x v="1"/>
    <x v="7"/>
    <x v="0"/>
    <x v="0"/>
  </r>
  <r>
    <x v="44"/>
    <s v="Lori"/>
    <s v="Cook"/>
    <n v="18"/>
    <x v="1"/>
    <x v="1"/>
    <s v="lori.cook@rediffmail.com"/>
    <s v="86837 Bell Meadows, North Jasonshire, UT 51354"/>
    <s v="OID5832"/>
    <x v="57"/>
    <s v="02:34:25"/>
    <x v="31"/>
    <n v="286.07"/>
    <n v="3"/>
    <x v="3"/>
    <n v="2"/>
    <n v="54"/>
    <d v="2023-02-20T00:00:00"/>
    <x v="59"/>
    <n v="5"/>
    <n v="858.21"/>
    <n v="912.21"/>
    <n v="0.2"/>
    <n v="182.44200000000001"/>
    <n v="729.76800000000003"/>
    <s v="Lori Cook"/>
    <x v="1"/>
    <x v="1"/>
    <x v="2"/>
    <x v="1"/>
  </r>
  <r>
    <x v="45"/>
    <s v="Debra"/>
    <s v="Hayes"/>
    <n v="33"/>
    <x v="0"/>
    <x v="6"/>
    <s v="debra.hayes@yahoo.com"/>
    <s v="4601 Miller Lock, Williamsbury, IA 10943"/>
    <s v="OID7806"/>
    <x v="58"/>
    <s v="02:46:19"/>
    <x v="32"/>
    <n v="87.09"/>
    <n v="4"/>
    <x v="2"/>
    <n v="6"/>
    <n v="63"/>
    <d v="2024-05-27T00:00:00"/>
    <x v="60"/>
    <n v="4"/>
    <n v="348.36"/>
    <n v="411.36"/>
    <n v="0"/>
    <n v="0"/>
    <n v="411.36"/>
    <s v="Debra Hayes"/>
    <x v="0"/>
    <x v="2"/>
    <x v="0"/>
    <x v="3"/>
  </r>
  <r>
    <x v="46"/>
    <s v="Brittany"/>
    <s v="Stewart"/>
    <n v="68"/>
    <x v="2"/>
    <x v="7"/>
    <s v="brittany.stewart@gmail.com"/>
    <s v="6250 David Loaf Suite 561, North Pamelaberg, WV 63652"/>
    <s v="OID4875"/>
    <x v="59"/>
    <s v="18:25:37"/>
    <x v="6"/>
    <n v="275.44"/>
    <n v="4"/>
    <x v="0"/>
    <n v="4"/>
    <n v="40"/>
    <d v="2023-03-22T00:00:00"/>
    <x v="61"/>
    <n v="5"/>
    <n v="1101.76"/>
    <n v="1141.76"/>
    <n v="0.08"/>
    <n v="91.340800000000002"/>
    <n v="1050.4192"/>
    <s v="Brittany Stewart"/>
    <x v="1"/>
    <x v="0"/>
    <x v="2"/>
    <x v="2"/>
  </r>
  <r>
    <x v="47"/>
    <s v="Mitchell"/>
    <s v="Parker"/>
    <n v="39"/>
    <x v="2"/>
    <x v="1"/>
    <s v="mitchell.parker@yahoo.com"/>
    <s v="PSC 3316, Box 9303, APO AE 29513"/>
    <s v="OID4070"/>
    <x v="60"/>
    <s v="19:18:19"/>
    <x v="33"/>
    <n v="421.7"/>
    <n v="1"/>
    <x v="4"/>
    <n v="3"/>
    <n v="59"/>
    <d v="2025-01-27T00:00:00"/>
    <x v="62"/>
    <n v="4"/>
    <n v="421.7"/>
    <n v="480.7"/>
    <n v="0.1"/>
    <n v="48.07"/>
    <n v="432.63"/>
    <s v="Mitchell Parker"/>
    <x v="1"/>
    <x v="5"/>
    <x v="1"/>
    <x v="3"/>
  </r>
  <r>
    <x v="20"/>
    <s v="John"/>
    <s v="Herrera"/>
    <n v="64"/>
    <x v="1"/>
    <x v="1"/>
    <s v="john.herrera@outlook.com"/>
    <s v="61263 Jacob Isle, Amandatown, TN 34321"/>
    <s v="OID7679"/>
    <x v="61"/>
    <s v="09:15:50"/>
    <x v="12"/>
    <n v="272.51"/>
    <n v="1"/>
    <x v="3"/>
    <n v="4"/>
    <n v="43"/>
    <d v="2024-12-04T00:00:00"/>
    <x v="63"/>
    <n v="1"/>
    <n v="272.51"/>
    <n v="315.51"/>
    <n v="0.2"/>
    <n v="63.102000000000004"/>
    <n v="252.40799999999999"/>
    <s v="John Herrera"/>
    <x v="0"/>
    <x v="7"/>
    <x v="0"/>
    <x v="0"/>
  </r>
  <r>
    <x v="48"/>
    <s v="Sharon"/>
    <s v="Thompson"/>
    <n v="57"/>
    <x v="1"/>
    <x v="7"/>
    <s v="sharon.thompson@yahoo.com"/>
    <s v="598 Jasmine Harbor, Turnerberg, SD 02371"/>
    <s v="OID3097"/>
    <x v="62"/>
    <s v="02:51:35"/>
    <x v="9"/>
    <n v="175.93"/>
    <n v="3"/>
    <x v="0"/>
    <n v="4"/>
    <n v="46"/>
    <d v="2024-02-29T00:00:00"/>
    <x v="64"/>
    <n v="5"/>
    <n v="527.79"/>
    <n v="573.79"/>
    <n v="0.08"/>
    <n v="45.903199999999998"/>
    <n v="527.88679999999999"/>
    <s v="Sharon Thompson"/>
    <x v="1"/>
    <x v="1"/>
    <x v="0"/>
    <x v="3"/>
  </r>
  <r>
    <x v="49"/>
    <s v="Sarah"/>
    <s v="Butler"/>
    <n v="64"/>
    <x v="0"/>
    <x v="0"/>
    <s v="sarah.butler@rediffmail.com"/>
    <s v="14131 Edwin Shore Apt. 190, Deniseberg, MD 90905"/>
    <s v="OID8869"/>
    <x v="63"/>
    <s v="20:59:40"/>
    <x v="34"/>
    <n v="136.30000000000001"/>
    <n v="5"/>
    <x v="1"/>
    <n v="6"/>
    <n v="39"/>
    <d v="2024-08-06T00:00:00"/>
    <x v="65"/>
    <n v="7"/>
    <n v="681.5"/>
    <n v="720.5"/>
    <n v="0.15"/>
    <n v="108.075"/>
    <n v="612.42499999999995"/>
    <s v="Sarah Butler"/>
    <x v="1"/>
    <x v="9"/>
    <x v="0"/>
    <x v="1"/>
  </r>
  <r>
    <x v="22"/>
    <s v="Ashley"/>
    <s v="Rose"/>
    <n v="60"/>
    <x v="2"/>
    <x v="0"/>
    <s v="ashley.rose@gmail.com"/>
    <s v="424 Nichols Curve Suite 177, Lake Brianview, TX 17289"/>
    <s v="OID2686"/>
    <x v="64"/>
    <s v="17:00:22"/>
    <x v="35"/>
    <n v="441.03"/>
    <n v="2"/>
    <x v="4"/>
    <n v="3"/>
    <n v="49"/>
    <d v="2024-06-15T00:00:00"/>
    <x v="66"/>
    <n v="7"/>
    <n v="882.06"/>
    <n v="931.06"/>
    <n v="0.1"/>
    <n v="93.105999999999995"/>
    <n v="837.95399999999995"/>
    <s v="Ashley Rose"/>
    <x v="1"/>
    <x v="6"/>
    <x v="0"/>
    <x v="2"/>
  </r>
  <r>
    <x v="50"/>
    <s v="Katherine"/>
    <s v="Weber"/>
    <n v="42"/>
    <x v="2"/>
    <x v="2"/>
    <s v="katherine.weber@outlook.com"/>
    <s v="04887 Kimberly Union Apt. 645, Port Laura, IL 97219"/>
    <s v="OID1046"/>
    <x v="65"/>
    <s v="22:51:56"/>
    <x v="30"/>
    <n v="369.03"/>
    <n v="4"/>
    <x v="3"/>
    <n v="7"/>
    <n v="52"/>
    <d v="2024-02-05T00:00:00"/>
    <x v="67"/>
    <n v="5"/>
    <n v="1476.12"/>
    <n v="1528.12"/>
    <n v="0.2"/>
    <n v="305.62399999999997"/>
    <n v="1222.4959999999999"/>
    <s v="Katherine Weber"/>
    <x v="0"/>
    <x v="5"/>
    <x v="0"/>
    <x v="0"/>
  </r>
  <r>
    <x v="51"/>
    <s v="Jason"/>
    <s v="Nguyen"/>
    <n v="51"/>
    <x v="2"/>
    <x v="4"/>
    <s v="jason.nguyen@yahoo.com"/>
    <s v="7112 Travis Glens Suite 790, Crystalland, WV 38373"/>
    <s v="OID8953"/>
    <x v="66"/>
    <s v="12:19:34"/>
    <x v="27"/>
    <n v="496.59"/>
    <n v="4"/>
    <x v="1"/>
    <n v="7"/>
    <n v="36"/>
    <d v="2023-12-20T00:00:00"/>
    <x v="68"/>
    <n v="3"/>
    <n v="1986.36"/>
    <n v="2022.36"/>
    <n v="0.15"/>
    <n v="303.35399999999998"/>
    <n v="1719.0059999999999"/>
    <s v="Jason Nguyen"/>
    <x v="0"/>
    <x v="7"/>
    <x v="2"/>
    <x v="3"/>
  </r>
  <r>
    <x v="52"/>
    <s v="Brandon"/>
    <s v="Cruz"/>
    <n v="32"/>
    <x v="2"/>
    <x v="3"/>
    <s v="brandon.cruz@gmail.com"/>
    <s v="9296 Villanueva Branch, East Kevin, CO 93912"/>
    <s v="OID1157"/>
    <x v="67"/>
    <s v="15:26:04"/>
    <x v="27"/>
    <n v="496.59"/>
    <n v="2"/>
    <x v="0"/>
    <n v="5"/>
    <n v="41"/>
    <d v="2024-10-23T00:00:00"/>
    <x v="69"/>
    <n v="2"/>
    <n v="993.18"/>
    <n v="1034.1799999999998"/>
    <n v="0.08"/>
    <n v="82.734399999999994"/>
    <n v="951.44559999999979"/>
    <s v="Brandon Cruz"/>
    <x v="0"/>
    <x v="8"/>
    <x v="0"/>
    <x v="2"/>
  </r>
  <r>
    <x v="0"/>
    <s v="Anne"/>
    <s v="Oconnell"/>
    <n v="37"/>
    <x v="0"/>
    <x v="0"/>
    <s v="anne.oconnell@outlook.com"/>
    <s v="2850 Matthew Ford, North Yolandachester, FL 67488"/>
    <s v="OID7358"/>
    <x v="68"/>
    <s v="19:49:32"/>
    <x v="0"/>
    <n v="308.88"/>
    <n v="1"/>
    <x v="2"/>
    <n v="6"/>
    <n v="62"/>
    <d v="2024-10-04T00:00:00"/>
    <x v="70"/>
    <n v="2"/>
    <n v="308.88"/>
    <n v="370.88"/>
    <n v="0"/>
    <n v="0"/>
    <n v="370.88"/>
    <s v="Anne Oconnell"/>
    <x v="0"/>
    <x v="8"/>
    <x v="0"/>
    <x v="0"/>
  </r>
  <r>
    <x v="53"/>
    <s v="Jodi"/>
    <s v="Whitney"/>
    <n v="33"/>
    <x v="2"/>
    <x v="6"/>
    <s v="jodi.whitney@yahoo.com"/>
    <s v="72876 Lara Key Suite 383, Gutierrezton, OR 71683"/>
    <s v="OID7453"/>
    <x v="69"/>
    <s v="21:08:59"/>
    <x v="36"/>
    <n v="425.59"/>
    <n v="4"/>
    <x v="2"/>
    <n v="6"/>
    <n v="53"/>
    <d v="2024-07-23T00:00:00"/>
    <x v="71"/>
    <n v="1"/>
    <n v="1702.36"/>
    <n v="1755.36"/>
    <n v="0"/>
    <n v="0"/>
    <n v="1755.36"/>
    <s v="Jodi Whitney"/>
    <x v="0"/>
    <x v="9"/>
    <x v="0"/>
    <x v="3"/>
  </r>
  <r>
    <x v="19"/>
    <s v="Mark"/>
    <s v="Henderson"/>
    <n v="33"/>
    <x v="2"/>
    <x v="7"/>
    <s v="mark.henderson@yahoo.com"/>
    <s v="90155 Hines Spring, North Theresafurt, ME 31920"/>
    <s v="OID1573"/>
    <x v="70"/>
    <s v="05:40:38"/>
    <x v="0"/>
    <n v="308.88"/>
    <n v="1"/>
    <x v="4"/>
    <n v="1"/>
    <n v="56"/>
    <d v="2024-03-09T00:00:00"/>
    <x v="72"/>
    <n v="5"/>
    <n v="308.88"/>
    <n v="364.88"/>
    <n v="0.1"/>
    <n v="36.488"/>
    <n v="328.392"/>
    <s v="Mark Henderson"/>
    <x v="1"/>
    <x v="0"/>
    <x v="0"/>
    <x v="3"/>
  </r>
  <r>
    <x v="42"/>
    <s v="Brian"/>
    <s v="Kennedy"/>
    <n v="69"/>
    <x v="0"/>
    <x v="0"/>
    <s v="brian.kennedy@outlook.com"/>
    <s v="25126 Nancy Fort Suite 568, Alexandrachester, AZ 44823"/>
    <s v="OID5696"/>
    <x v="71"/>
    <s v="17:56:01"/>
    <x v="28"/>
    <n v="431.44"/>
    <n v="5"/>
    <x v="1"/>
    <n v="6"/>
    <n v="59"/>
    <d v="2023-08-01T00:00:00"/>
    <x v="73"/>
    <n v="7"/>
    <n v="2157.1999999999998"/>
    <n v="2216.1999999999998"/>
    <n v="0.15"/>
    <n v="332.42999999999995"/>
    <n v="1883.77"/>
    <s v="Brian Kennedy"/>
    <x v="1"/>
    <x v="9"/>
    <x v="2"/>
    <x v="0"/>
  </r>
  <r>
    <x v="42"/>
    <s v="Brian"/>
    <s v="Kennedy"/>
    <n v="69"/>
    <x v="0"/>
    <x v="0"/>
    <s v="brian.kennedy@outlook.com"/>
    <s v="25126 Nancy Fort Suite 568, Alexandrachester, AZ 44823"/>
    <s v="OID3467"/>
    <x v="72"/>
    <s v="23:34:28"/>
    <x v="37"/>
    <n v="133.62"/>
    <n v="2"/>
    <x v="4"/>
    <n v="4"/>
    <n v="50"/>
    <d v="2024-12-25T00:00:00"/>
    <x v="74"/>
    <n v="1"/>
    <n v="267.24"/>
    <n v="317.24"/>
    <n v="0.1"/>
    <n v="31.724000000000004"/>
    <n v="285.51600000000002"/>
    <s v="Brian Kennedy"/>
    <x v="0"/>
    <x v="7"/>
    <x v="0"/>
    <x v="0"/>
  </r>
  <r>
    <x v="25"/>
    <s v="Teresa"/>
    <s v="Harvey"/>
    <n v="64"/>
    <x v="2"/>
    <x v="0"/>
    <s v="teresa.harvey@gmail.com"/>
    <s v="02669 Kirk Squares, Davisville, VA 51272"/>
    <s v="OID8542"/>
    <x v="7"/>
    <s v="03:04:26"/>
    <x v="5"/>
    <n v="363.64"/>
    <n v="3"/>
    <x v="2"/>
    <n v="7"/>
    <n v="41"/>
    <d v="2024-06-18T00:00:00"/>
    <x v="75"/>
    <n v="2"/>
    <n v="1090.92"/>
    <n v="1131.92"/>
    <n v="0"/>
    <n v="0"/>
    <n v="1131.92"/>
    <s v="Teresa Harvey"/>
    <x v="0"/>
    <x v="6"/>
    <x v="0"/>
    <x v="2"/>
  </r>
  <r>
    <x v="1"/>
    <s v="Anthony"/>
    <s v="Thomas"/>
    <n v="53"/>
    <x v="1"/>
    <x v="1"/>
    <s v="anthony.thomas@rediffmail.com"/>
    <s v="931 Christopher Ways Suite 833, North Michelle, IN 53484"/>
    <s v="OID1520"/>
    <x v="73"/>
    <s v="04:27:04"/>
    <x v="19"/>
    <n v="128.13999999999999"/>
    <n v="1"/>
    <x v="0"/>
    <n v="7"/>
    <n v="70"/>
    <d v="2023-04-29T00:00:00"/>
    <x v="76"/>
    <n v="4"/>
    <n v="128.13999999999999"/>
    <n v="198.14"/>
    <n v="0.08"/>
    <n v="15.851199999999999"/>
    <n v="182.28879999999998"/>
    <s v="Anthony Thomas"/>
    <x v="0"/>
    <x v="3"/>
    <x v="2"/>
    <x v="1"/>
  </r>
  <r>
    <x v="35"/>
    <s v="Aaron"/>
    <s v="Thompson"/>
    <n v="47"/>
    <x v="1"/>
    <x v="3"/>
    <s v="aaron.thompson@gmail.com"/>
    <s v="PSC 0550, Box 2737, APO AE 75772"/>
    <s v="OID2157"/>
    <x v="74"/>
    <s v="23:24:39"/>
    <x v="38"/>
    <n v="477.52"/>
    <n v="2"/>
    <x v="0"/>
    <n v="6"/>
    <n v="55"/>
    <d v="2025-01-28T00:00:00"/>
    <x v="77"/>
    <n v="2"/>
    <n v="955.04"/>
    <n v="1010.04"/>
    <n v="0.08"/>
    <n v="80.803200000000004"/>
    <n v="929.2367999999999"/>
    <s v="Aaron Thompson"/>
    <x v="0"/>
    <x v="5"/>
    <x v="1"/>
    <x v="2"/>
  </r>
  <r>
    <x v="54"/>
    <s v="Ashley"/>
    <s v="Romero"/>
    <n v="35"/>
    <x v="0"/>
    <x v="0"/>
    <s v="ashley.romero@yahoo.com"/>
    <s v="547 Kerry Expressway, Lake Amanda, AR 20321"/>
    <s v="OID6374"/>
    <x v="46"/>
    <s v="18:54:33"/>
    <x v="17"/>
    <n v="126.19"/>
    <n v="3"/>
    <x v="2"/>
    <n v="5"/>
    <n v="40"/>
    <d v="2023-05-12T00:00:00"/>
    <x v="78"/>
    <n v="4"/>
    <n v="378.57"/>
    <n v="418.57"/>
    <n v="0"/>
    <n v="0"/>
    <n v="418.57"/>
    <s v="Ashley Romero"/>
    <x v="0"/>
    <x v="2"/>
    <x v="2"/>
    <x v="3"/>
  </r>
  <r>
    <x v="38"/>
    <s v="John"/>
    <s v="Ramirez"/>
    <n v="28"/>
    <x v="2"/>
    <x v="4"/>
    <s v="john.ramirez@outlook.com"/>
    <s v="02797 Martin Landing, South Michelle, VT 98781"/>
    <s v="OID6555"/>
    <x v="75"/>
    <s v="10:55:08"/>
    <x v="24"/>
    <n v="481.48"/>
    <n v="4"/>
    <x v="4"/>
    <n v="1"/>
    <n v="36"/>
    <d v="2024-06-04T00:00:00"/>
    <x v="79"/>
    <n v="4"/>
    <n v="1925.92"/>
    <n v="1961.92"/>
    <n v="0.1"/>
    <n v="196.19200000000001"/>
    <n v="1765.7280000000001"/>
    <s v="John Ramirez"/>
    <x v="1"/>
    <x v="2"/>
    <x v="0"/>
    <x v="0"/>
  </r>
  <r>
    <x v="45"/>
    <s v="Debra"/>
    <s v="Hayes"/>
    <n v="33"/>
    <x v="0"/>
    <x v="6"/>
    <s v="debra.hayes@yahoo.com"/>
    <s v="4601 Miller Lock, Williamsbury, IA 10943"/>
    <s v="OID5850"/>
    <x v="76"/>
    <s v="19:40:45"/>
    <x v="0"/>
    <n v="308.88"/>
    <n v="3"/>
    <x v="1"/>
    <n v="4"/>
    <n v="48"/>
    <d v="2025-01-21T00:00:00"/>
    <x v="80"/>
    <n v="3"/>
    <n v="926.64"/>
    <n v="974.64"/>
    <n v="0.15"/>
    <n v="146.196"/>
    <n v="828.44399999999996"/>
    <s v="Debra Hayes"/>
    <x v="0"/>
    <x v="5"/>
    <x v="1"/>
    <x v="3"/>
  </r>
  <r>
    <x v="18"/>
    <s v="Christian"/>
    <s v="Clayton"/>
    <n v="39"/>
    <x v="1"/>
    <x v="5"/>
    <s v="christian.clayton@yahoo.com"/>
    <s v="065 Madison Way, Smithstad, CT 68011"/>
    <s v="OID8041"/>
    <x v="77"/>
    <s v="02:08:49"/>
    <x v="39"/>
    <n v="403.03"/>
    <n v="1"/>
    <x v="3"/>
    <n v="3"/>
    <n v="52"/>
    <d v="2024-08-22T00:00:00"/>
    <x v="81"/>
    <n v="1"/>
    <n v="403.03"/>
    <n v="455.03"/>
    <n v="0.2"/>
    <n v="91.006"/>
    <n v="364.024"/>
    <s v="Christian Clayton"/>
    <x v="0"/>
    <x v="10"/>
    <x v="0"/>
    <x v="3"/>
  </r>
  <r>
    <x v="55"/>
    <s v="William"/>
    <s v="Mann"/>
    <n v="21"/>
    <x v="0"/>
    <x v="1"/>
    <s v="william.mann@yahoo.com"/>
    <s v="849 Tran Wells, New Lindsayville, WI 22669"/>
    <s v="OID5605"/>
    <x v="73"/>
    <s v="01:05:15"/>
    <x v="4"/>
    <n v="330.11"/>
    <n v="2"/>
    <x v="0"/>
    <n v="3"/>
    <n v="64"/>
    <d v="2023-04-30T00:00:00"/>
    <x v="82"/>
    <n v="5"/>
    <n v="660.22"/>
    <n v="724.22"/>
    <n v="0.08"/>
    <n v="57.937600000000003"/>
    <n v="666.28240000000005"/>
    <s v="William Mann"/>
    <x v="1"/>
    <x v="3"/>
    <x v="2"/>
    <x v="3"/>
  </r>
  <r>
    <x v="38"/>
    <s v="John"/>
    <s v="Ramirez"/>
    <n v="28"/>
    <x v="2"/>
    <x v="4"/>
    <s v="john.ramirez@outlook.com"/>
    <s v="02797 Martin Landing, South Michelle, VT 98781"/>
    <s v="OID8388"/>
    <x v="65"/>
    <s v="04:27:02"/>
    <x v="20"/>
    <n v="62.42"/>
    <n v="1"/>
    <x v="3"/>
    <n v="6"/>
    <n v="53"/>
    <d v="2024-02-07T00:00:00"/>
    <x v="83"/>
    <n v="7"/>
    <n v="62.42"/>
    <n v="115.42"/>
    <n v="0.2"/>
    <n v="23.084000000000003"/>
    <n v="92.335999999999999"/>
    <s v="John Ramirez"/>
    <x v="1"/>
    <x v="5"/>
    <x v="0"/>
    <x v="0"/>
  </r>
  <r>
    <x v="56"/>
    <s v="Kelli"/>
    <s v="Smith"/>
    <n v="18"/>
    <x v="1"/>
    <x v="1"/>
    <s v="kelli.smith@rediffmail.com"/>
    <s v="788 Kristina Lane, Montoyaside, VA 90756"/>
    <s v="OID5787"/>
    <x v="78"/>
    <s v="15:22:10"/>
    <x v="4"/>
    <n v="330.11"/>
    <n v="1"/>
    <x v="3"/>
    <n v="4"/>
    <n v="67"/>
    <d v="2024-12-01T00:00:00"/>
    <x v="84"/>
    <n v="2"/>
    <n v="330.11"/>
    <n v="397.11"/>
    <n v="0.2"/>
    <n v="79.422000000000011"/>
    <n v="317.68799999999999"/>
    <s v="Kelli Smith"/>
    <x v="0"/>
    <x v="11"/>
    <x v="0"/>
    <x v="1"/>
  </r>
  <r>
    <x v="26"/>
    <s v="Heather"/>
    <s v="Schneider"/>
    <n v="48"/>
    <x v="1"/>
    <x v="3"/>
    <s v="heather.schneider@outlook.com"/>
    <s v="57940 Susan Creek Apt. 541, Port Aliciamouth, OR 90221"/>
    <s v="OID3140"/>
    <x v="79"/>
    <s v="19:45:13"/>
    <x v="7"/>
    <n v="48.45"/>
    <n v="1"/>
    <x v="1"/>
    <n v="6"/>
    <n v="66"/>
    <d v="2024-08-08T00:00:00"/>
    <x v="85"/>
    <n v="7"/>
    <n v="48.45"/>
    <n v="114.45"/>
    <n v="0.15"/>
    <n v="17.1675"/>
    <n v="97.282499999999999"/>
    <s v="Heather Schneider"/>
    <x v="1"/>
    <x v="10"/>
    <x v="0"/>
    <x v="0"/>
  </r>
  <r>
    <x v="48"/>
    <s v="Sharon"/>
    <s v="Thompson"/>
    <n v="57"/>
    <x v="1"/>
    <x v="7"/>
    <s v="sharon.thompson@yahoo.com"/>
    <s v="598 Jasmine Harbor, Turnerberg, SD 02371"/>
    <s v="OID6771"/>
    <x v="80"/>
    <s v="01:09:33"/>
    <x v="3"/>
    <n v="405"/>
    <n v="2"/>
    <x v="2"/>
    <n v="4"/>
    <n v="70"/>
    <d v="2023-11-27T00:00:00"/>
    <x v="86"/>
    <n v="5"/>
    <n v="810"/>
    <n v="880"/>
    <n v="0"/>
    <n v="0"/>
    <n v="880"/>
    <s v="Sharon Thompson"/>
    <x v="1"/>
    <x v="11"/>
    <x v="2"/>
    <x v="3"/>
  </r>
  <r>
    <x v="48"/>
    <s v="Sharon"/>
    <s v="Thompson"/>
    <n v="57"/>
    <x v="1"/>
    <x v="7"/>
    <s v="sharon.thompson@yahoo.com"/>
    <s v="598 Jasmine Harbor, Turnerberg, SD 02371"/>
    <s v="OID8988"/>
    <x v="81"/>
    <s v="07:05:58"/>
    <x v="27"/>
    <n v="496.59"/>
    <n v="2"/>
    <x v="4"/>
    <n v="1"/>
    <n v="46"/>
    <d v="2024-11-02T00:00:00"/>
    <x v="87"/>
    <n v="3"/>
    <n v="993.18"/>
    <n v="1039.1799999999998"/>
    <n v="0.1"/>
    <n v="103.91799999999999"/>
    <n v="935.26199999999983"/>
    <s v="Sharon Thompson"/>
    <x v="1"/>
    <x v="8"/>
    <x v="0"/>
    <x v="3"/>
  </r>
  <r>
    <x v="6"/>
    <s v="Marcus"/>
    <s v="Valenzuela"/>
    <n v="39"/>
    <x v="0"/>
    <x v="0"/>
    <s v="marcus.valenzuela@yahoo.com"/>
    <s v="694 Graham Prairie Apt. 887, Jimenezfurt, MI 33044"/>
    <s v="OID9398"/>
    <x v="82"/>
    <s v="07:48:29"/>
    <x v="7"/>
    <n v="48.45"/>
    <n v="1"/>
    <x v="3"/>
    <n v="4"/>
    <n v="66"/>
    <d v="2023-10-29T00:00:00"/>
    <x v="88"/>
    <n v="1"/>
    <n v="48.45"/>
    <n v="114.45"/>
    <n v="0.2"/>
    <n v="22.89"/>
    <n v="91.56"/>
    <s v="Marcus Valenzuela"/>
    <x v="0"/>
    <x v="8"/>
    <x v="2"/>
    <x v="3"/>
  </r>
  <r>
    <x v="57"/>
    <s v="Joseph"/>
    <s v="Gaines"/>
    <n v="47"/>
    <x v="2"/>
    <x v="2"/>
    <s v="joseph.gaines@outlook.com"/>
    <s v="37549 Pope Isle Apt. 202, Tylerborough, MO 60042"/>
    <s v="OID9822"/>
    <x v="83"/>
    <s v="12:17:34"/>
    <x v="28"/>
    <n v="431.44"/>
    <n v="1"/>
    <x v="2"/>
    <n v="7"/>
    <n v="35"/>
    <d v="2023-06-03T00:00:00"/>
    <x v="89"/>
    <n v="4"/>
    <n v="431.44"/>
    <n v="466.44"/>
    <n v="0"/>
    <n v="0"/>
    <n v="466.44"/>
    <s v="Joseph Gaines"/>
    <x v="0"/>
    <x v="2"/>
    <x v="2"/>
    <x v="0"/>
  </r>
  <r>
    <x v="12"/>
    <s v="Joshua"/>
    <s v="Campbell"/>
    <n v="24"/>
    <x v="0"/>
    <x v="5"/>
    <s v="joshua.campbell@gmail.com"/>
    <s v="70426 Lindsey Overpass Apt. 030, Jessicafurt, AR 46269"/>
    <s v="OID1269"/>
    <x v="84"/>
    <s v="19:02:37"/>
    <x v="31"/>
    <n v="286.07"/>
    <n v="5"/>
    <x v="1"/>
    <n v="5"/>
    <n v="65"/>
    <d v="2024-09-23T00:00:00"/>
    <x v="90"/>
    <n v="3"/>
    <n v="1430.35"/>
    <n v="1495.35"/>
    <n v="0.15"/>
    <n v="224.30249999999998"/>
    <n v="1271.0474999999999"/>
    <s v="Joshua Campbell"/>
    <x v="0"/>
    <x v="4"/>
    <x v="0"/>
    <x v="2"/>
  </r>
  <r>
    <x v="38"/>
    <s v="John"/>
    <s v="Ramirez"/>
    <n v="28"/>
    <x v="2"/>
    <x v="4"/>
    <s v="john.ramirez@outlook.com"/>
    <s v="02797 Martin Landing, South Michelle, VT 98781"/>
    <s v="OID9915"/>
    <x v="69"/>
    <s v="03:34:35"/>
    <x v="17"/>
    <n v="126.19"/>
    <n v="2"/>
    <x v="0"/>
    <n v="7"/>
    <n v="48"/>
    <d v="2024-07-23T00:00:00"/>
    <x v="91"/>
    <n v="1"/>
    <n v="252.38"/>
    <n v="300.38"/>
    <n v="0.08"/>
    <n v="24.0304"/>
    <n v="276.34960000000001"/>
    <s v="John Ramirez"/>
    <x v="0"/>
    <x v="9"/>
    <x v="0"/>
    <x v="0"/>
  </r>
  <r>
    <x v="24"/>
    <s v="Lauren"/>
    <s v="Long"/>
    <n v="44"/>
    <x v="0"/>
    <x v="7"/>
    <s v="lauren.long@gmail.com"/>
    <s v="258 Michael Brooks Suite 363, Arnoldview, PA 49438"/>
    <s v="OID3348"/>
    <x v="85"/>
    <s v="17:05:21"/>
    <x v="40"/>
    <n v="445.81"/>
    <n v="5"/>
    <x v="1"/>
    <n v="1"/>
    <n v="56"/>
    <d v="2024-01-22T00:00:00"/>
    <x v="92"/>
    <n v="6"/>
    <n v="2229.0500000000002"/>
    <n v="2285.0500000000002"/>
    <n v="0.15"/>
    <n v="342.75749999999999"/>
    <n v="1942.2925000000002"/>
    <s v="Lauren Long"/>
    <x v="1"/>
    <x v="5"/>
    <x v="0"/>
    <x v="2"/>
  </r>
  <r>
    <x v="58"/>
    <s v="Amy"/>
    <s v="Ellis"/>
    <n v="44"/>
    <x v="2"/>
    <x v="3"/>
    <s v="amy.ellis@gmail.com"/>
    <s v="217 Scott Ville, Christophermouth, NH 83776"/>
    <s v="OID8431"/>
    <x v="78"/>
    <s v="23:41:08"/>
    <x v="30"/>
    <n v="369.03"/>
    <n v="4"/>
    <x v="3"/>
    <n v="4"/>
    <n v="56"/>
    <d v="2024-12-04T00:00:00"/>
    <x v="93"/>
    <n v="5"/>
    <n v="1476.12"/>
    <n v="1532.12"/>
    <n v="0.2"/>
    <n v="306.42399999999998"/>
    <n v="1225.6959999999999"/>
    <s v="Amy Ellis"/>
    <x v="1"/>
    <x v="11"/>
    <x v="0"/>
    <x v="2"/>
  </r>
  <r>
    <x v="59"/>
    <s v="Beth"/>
    <s v="Mason"/>
    <n v="45"/>
    <x v="2"/>
    <x v="3"/>
    <s v="beth.mason@outlook.com"/>
    <s v="58998 Sherry Haven, East Richard, FL 90775"/>
    <s v="OID6943"/>
    <x v="86"/>
    <s v="04:48:30"/>
    <x v="41"/>
    <n v="433.62"/>
    <n v="2"/>
    <x v="3"/>
    <n v="1"/>
    <n v="41"/>
    <d v="2024-08-06T00:00:00"/>
    <x v="94"/>
    <n v="6"/>
    <n v="867.24"/>
    <n v="908.24"/>
    <n v="0.2"/>
    <n v="181.64800000000002"/>
    <n v="726.59199999999998"/>
    <s v="Beth Mason"/>
    <x v="1"/>
    <x v="9"/>
    <x v="0"/>
    <x v="0"/>
  </r>
  <r>
    <x v="49"/>
    <s v="Sarah"/>
    <s v="Butler"/>
    <n v="64"/>
    <x v="0"/>
    <x v="0"/>
    <s v="sarah.butler@rediffmail.com"/>
    <s v="14131 Edwin Shore Apt. 190, Deniseberg, MD 90905"/>
    <s v="OID6229"/>
    <x v="87"/>
    <s v="17:09:49"/>
    <x v="42"/>
    <n v="235.63"/>
    <n v="4"/>
    <x v="3"/>
    <n v="2"/>
    <n v="60"/>
    <d v="2024-07-22T00:00:00"/>
    <x v="95"/>
    <n v="7"/>
    <n v="942.52"/>
    <n v="1002.52"/>
    <n v="0.2"/>
    <n v="200.50400000000002"/>
    <n v="802.01599999999996"/>
    <s v="Sarah Butler"/>
    <x v="1"/>
    <x v="9"/>
    <x v="0"/>
    <x v="1"/>
  </r>
  <r>
    <x v="20"/>
    <s v="John"/>
    <s v="Herrera"/>
    <n v="64"/>
    <x v="1"/>
    <x v="1"/>
    <s v="john.herrera@outlook.com"/>
    <s v="61263 Jacob Isle, Amandatown, TN 34321"/>
    <s v="OID6912"/>
    <x v="88"/>
    <s v="07:51:16"/>
    <x v="22"/>
    <n v="158.53"/>
    <n v="5"/>
    <x v="3"/>
    <n v="1"/>
    <n v="57"/>
    <d v="2023-07-18T00:00:00"/>
    <x v="96"/>
    <n v="7"/>
    <n v="792.65"/>
    <n v="849.65"/>
    <n v="0.2"/>
    <n v="169.93"/>
    <n v="679.72"/>
    <s v="John Herrera"/>
    <x v="1"/>
    <x v="9"/>
    <x v="2"/>
    <x v="0"/>
  </r>
  <r>
    <x v="20"/>
    <s v="John"/>
    <s v="Herrera"/>
    <n v="64"/>
    <x v="1"/>
    <x v="1"/>
    <s v="john.herrera@outlook.com"/>
    <s v="61263 Jacob Isle, Amandatown, TN 34321"/>
    <s v="OID5081"/>
    <x v="89"/>
    <s v="21:43:03"/>
    <x v="4"/>
    <n v="330.11"/>
    <n v="3"/>
    <x v="1"/>
    <n v="3"/>
    <n v="65"/>
    <d v="2023-09-17T00:00:00"/>
    <x v="97"/>
    <n v="3"/>
    <n v="990.33"/>
    <n v="1055.33"/>
    <n v="0.15"/>
    <n v="158.29949999999999"/>
    <n v="897.03049999999996"/>
    <s v="John Herrera"/>
    <x v="2"/>
    <x v="4"/>
    <x v="2"/>
    <x v="0"/>
  </r>
  <r>
    <x v="59"/>
    <s v="Beth"/>
    <s v="Mason"/>
    <n v="45"/>
    <x v="2"/>
    <x v="3"/>
    <s v="beth.mason@outlook.com"/>
    <s v="58998 Sherry Haven, East Richard, FL 90775"/>
    <s v="OID5610"/>
    <x v="90"/>
    <s v="07:53:58"/>
    <x v="11"/>
    <n v="220.27"/>
    <n v="2"/>
    <x v="3"/>
    <n v="1"/>
    <n v="63"/>
    <d v="2025-01-18T00:00:00"/>
    <x v="98"/>
    <n v="2"/>
    <n v="440.54"/>
    <n v="503.54"/>
    <n v="0.2"/>
    <n v="100.70800000000001"/>
    <n v="402.83199999999999"/>
    <s v="Beth Mason"/>
    <x v="1"/>
    <x v="5"/>
    <x v="1"/>
    <x v="0"/>
  </r>
  <r>
    <x v="55"/>
    <s v="William"/>
    <s v="Mann"/>
    <n v="21"/>
    <x v="0"/>
    <x v="1"/>
    <s v="william.mann@yahoo.com"/>
    <s v="849 Tran Wells, New Lindsayville, WI 22669"/>
    <s v="OID7759"/>
    <x v="91"/>
    <s v="01:16:21"/>
    <x v="6"/>
    <n v="275.44"/>
    <n v="3"/>
    <x v="1"/>
    <n v="7"/>
    <n v="47"/>
    <d v="2024-01-31T00:00:00"/>
    <x v="99"/>
    <n v="1"/>
    <n v="826.31999999999994"/>
    <n v="873.31999999999994"/>
    <n v="0.15"/>
    <n v="130.99799999999999"/>
    <n v="742.32199999999989"/>
    <s v="William Mann"/>
    <x v="0"/>
    <x v="5"/>
    <x v="0"/>
    <x v="3"/>
  </r>
  <r>
    <x v="60"/>
    <s v="Christy"/>
    <s v="Chang"/>
    <n v="38"/>
    <x v="1"/>
    <x v="7"/>
    <s v="christy.chang@outlook.com"/>
    <s v="4647 Hannah Centers, Rhodesburgh, NH 89363"/>
    <s v="OID4481"/>
    <x v="92"/>
    <s v="02:43:38"/>
    <x v="38"/>
    <n v="477.52"/>
    <n v="3"/>
    <x v="0"/>
    <n v="7"/>
    <n v="66"/>
    <d v="2023-10-09T00:00:00"/>
    <x v="100"/>
    <n v="5"/>
    <n v="1432.56"/>
    <n v="1498.56"/>
    <n v="0.08"/>
    <n v="119.8848"/>
    <n v="1378.6751999999999"/>
    <s v="Christy Chang"/>
    <x v="0"/>
    <x v="8"/>
    <x v="2"/>
    <x v="0"/>
  </r>
  <r>
    <x v="61"/>
    <s v="Troy"/>
    <s v="Gomez"/>
    <n v="68"/>
    <x v="0"/>
    <x v="7"/>
    <s v="troy.gomez@outlook.com"/>
    <s v="7510 Jose Knolls, Candicechester, LA 62815"/>
    <s v="OID6749"/>
    <x v="93"/>
    <s v="13:25:18"/>
    <x v="43"/>
    <n v="424.82"/>
    <n v="1"/>
    <x v="2"/>
    <n v="6"/>
    <n v="44"/>
    <d v="2024-12-12T00:00:00"/>
    <x v="101"/>
    <n v="2"/>
    <n v="424.82"/>
    <n v="468.82"/>
    <n v="0"/>
    <n v="0"/>
    <n v="468.82"/>
    <s v="Troy Gomez"/>
    <x v="0"/>
    <x v="7"/>
    <x v="0"/>
    <x v="0"/>
  </r>
  <r>
    <x v="62"/>
    <s v="Kim"/>
    <s v="Blevins"/>
    <n v="65"/>
    <x v="1"/>
    <x v="3"/>
    <s v="kim.blevins@outlook.com"/>
    <s v="089 Rice Shoal Suite 491, Juarezmouth, MI 88715"/>
    <s v="OID8681"/>
    <x v="94"/>
    <s v="18:32:14"/>
    <x v="30"/>
    <n v="369.03"/>
    <n v="4"/>
    <x v="0"/>
    <n v="3"/>
    <n v="56"/>
    <d v="2023-08-31T00:00:00"/>
    <x v="102"/>
    <n v="4"/>
    <n v="1476.12"/>
    <n v="1532.12"/>
    <n v="0.08"/>
    <n v="122.56959999999999"/>
    <n v="1409.5503999999999"/>
    <s v="Kim Blevins"/>
    <x v="1"/>
    <x v="10"/>
    <x v="2"/>
    <x v="0"/>
  </r>
  <r>
    <x v="42"/>
    <s v="Brian"/>
    <s v="Kennedy"/>
    <n v="69"/>
    <x v="0"/>
    <x v="0"/>
    <s v="brian.kennedy@outlook.com"/>
    <s v="25126 Nancy Fort Suite 568, Alexandrachester, AZ 44823"/>
    <s v="OID9693"/>
    <x v="95"/>
    <s v="21:12:50"/>
    <x v="34"/>
    <n v="136.30000000000001"/>
    <n v="2"/>
    <x v="4"/>
    <n v="1"/>
    <n v="54"/>
    <d v="2024-07-12T00:00:00"/>
    <x v="103"/>
    <n v="1"/>
    <n v="272.60000000000002"/>
    <n v="326.60000000000002"/>
    <n v="0.1"/>
    <n v="32.660000000000004"/>
    <n v="293.94"/>
    <s v="Brian Kennedy"/>
    <x v="2"/>
    <x v="9"/>
    <x v="0"/>
    <x v="0"/>
  </r>
  <r>
    <x v="38"/>
    <s v="John"/>
    <s v="Ramirez"/>
    <n v="28"/>
    <x v="2"/>
    <x v="4"/>
    <s v="john.ramirez@outlook.com"/>
    <s v="02797 Martin Landing, South Michelle, VT 98781"/>
    <s v="OID3607"/>
    <x v="96"/>
    <s v="17:19:09"/>
    <x v="11"/>
    <n v="220.27"/>
    <n v="4"/>
    <x v="3"/>
    <n v="4"/>
    <n v="65"/>
    <d v="2023-07-10T00:00:00"/>
    <x v="104"/>
    <n v="4"/>
    <n v="881.08"/>
    <n v="946.08"/>
    <n v="0.2"/>
    <n v="189.21600000000001"/>
    <n v="756.86400000000003"/>
    <s v="John Ramirez"/>
    <x v="2"/>
    <x v="9"/>
    <x v="2"/>
    <x v="0"/>
  </r>
  <r>
    <x v="55"/>
    <s v="William"/>
    <s v="Mann"/>
    <n v="21"/>
    <x v="0"/>
    <x v="1"/>
    <s v="william.mann@yahoo.com"/>
    <s v="849 Tran Wells, New Lindsayville, WI 22669"/>
    <s v="OID9743"/>
    <x v="97"/>
    <s v="15:04:45"/>
    <x v="37"/>
    <n v="133.62"/>
    <n v="5"/>
    <x v="1"/>
    <n v="6"/>
    <n v="64"/>
    <d v="2024-08-28T00:00:00"/>
    <x v="105"/>
    <n v="2"/>
    <n v="668.1"/>
    <n v="732.1"/>
    <n v="0.15"/>
    <n v="109.815"/>
    <n v="622.28500000000008"/>
    <s v="William Mann"/>
    <x v="0"/>
    <x v="10"/>
    <x v="0"/>
    <x v="3"/>
  </r>
  <r>
    <x v="63"/>
    <s v="Gregory"/>
    <s v="Lee"/>
    <n v="26"/>
    <x v="2"/>
    <x v="2"/>
    <s v="gregory.lee@rediffmail.com"/>
    <s v="619 Parker Turnpike Apt. 025, West Brucehaven, ID 48437"/>
    <s v="OID7866"/>
    <x v="98"/>
    <s v="18:15:56"/>
    <x v="0"/>
    <n v="308.88"/>
    <n v="2"/>
    <x v="3"/>
    <n v="4"/>
    <n v="61"/>
    <d v="2024-05-24T00:00:00"/>
    <x v="106"/>
    <n v="4"/>
    <n v="617.76"/>
    <n v="678.76"/>
    <n v="0.2"/>
    <n v="135.75200000000001"/>
    <n v="543.00800000000004"/>
    <s v="Gregory Lee"/>
    <x v="2"/>
    <x v="2"/>
    <x v="0"/>
    <x v="1"/>
  </r>
  <r>
    <x v="21"/>
    <s v="Angela"/>
    <s v="Evans"/>
    <n v="52"/>
    <x v="2"/>
    <x v="1"/>
    <s v="angela.evans@outlook.com"/>
    <s v="16031 David Mountain Suite 431, Susanborough, PA 01910"/>
    <s v="OID1137"/>
    <x v="99"/>
    <s v="00:17:47"/>
    <x v="15"/>
    <n v="461.07"/>
    <n v="1"/>
    <x v="3"/>
    <n v="7"/>
    <n v="57"/>
    <d v="2024-05-22T00:00:00"/>
    <x v="107"/>
    <n v="7"/>
    <n v="461.07"/>
    <n v="518.06999999999994"/>
    <n v="0.2"/>
    <n v="103.61399999999999"/>
    <n v="414.45599999999996"/>
    <s v="Angela Evans"/>
    <x v="2"/>
    <x v="2"/>
    <x v="0"/>
    <x v="0"/>
  </r>
  <r>
    <x v="64"/>
    <s v="Bruce"/>
    <s v="Allen"/>
    <n v="32"/>
    <x v="1"/>
    <x v="0"/>
    <s v="bruce.allen@rediffmail.com"/>
    <s v="2417 Brown Ford, West Timothyside, RI 45629"/>
    <s v="OID4685"/>
    <x v="100"/>
    <s v="01:46:15"/>
    <x v="27"/>
    <n v="496.59"/>
    <n v="5"/>
    <x v="3"/>
    <n v="1"/>
    <n v="40"/>
    <d v="2023-04-09T00:00:00"/>
    <x v="108"/>
    <n v="4"/>
    <n v="2482.9499999999998"/>
    <n v="2522.9499999999998"/>
    <n v="0.2"/>
    <n v="504.59"/>
    <n v="2018.36"/>
    <s v="Bruce Allen"/>
    <x v="1"/>
    <x v="3"/>
    <x v="2"/>
    <x v="1"/>
  </r>
  <r>
    <x v="65"/>
    <s v="Lisa"/>
    <s v="Miller"/>
    <n v="70"/>
    <x v="1"/>
    <x v="3"/>
    <s v="lisa.miller@gmail.com"/>
    <s v="89748 Campbell Drive, South Tannerland, WI 13143"/>
    <s v="OID9584"/>
    <x v="101"/>
    <s v="09:44:25"/>
    <x v="13"/>
    <n v="104.18"/>
    <n v="2"/>
    <x v="0"/>
    <n v="2"/>
    <n v="40"/>
    <d v="2023-03-25T00:00:00"/>
    <x v="109"/>
    <n v="5"/>
    <n v="208.36"/>
    <n v="248.36"/>
    <n v="0.08"/>
    <n v="19.8688"/>
    <n v="228.49120000000002"/>
    <s v="Lisa Miller"/>
    <x v="1"/>
    <x v="0"/>
    <x v="2"/>
    <x v="2"/>
  </r>
  <r>
    <x v="66"/>
    <s v="Melissa"/>
    <s v="Levy"/>
    <n v="30"/>
    <x v="0"/>
    <x v="5"/>
    <s v="melissa.levy@rediffmail.com"/>
    <s v="3303 Kennedy Springs Suite 830, East Amybury, MI 95595"/>
    <s v="OID1686"/>
    <x v="102"/>
    <s v="20:32:03"/>
    <x v="44"/>
    <n v="110.95"/>
    <n v="2"/>
    <x v="0"/>
    <n v="4"/>
    <n v="68"/>
    <d v="2024-04-26T00:00:00"/>
    <x v="110"/>
    <n v="2"/>
    <n v="221.9"/>
    <n v="289.89999999999998"/>
    <n v="0.08"/>
    <n v="23.192"/>
    <n v="266.70799999999997"/>
    <s v="Melissa Levy"/>
    <x v="0"/>
    <x v="3"/>
    <x v="0"/>
    <x v="1"/>
  </r>
  <r>
    <x v="59"/>
    <s v="Beth"/>
    <s v="Mason"/>
    <n v="45"/>
    <x v="2"/>
    <x v="3"/>
    <s v="beth.mason@outlook.com"/>
    <s v="58998 Sherry Haven, East Richard, FL 90775"/>
    <s v="OID5272"/>
    <x v="18"/>
    <s v="12:57:10"/>
    <x v="27"/>
    <n v="496.59"/>
    <n v="2"/>
    <x v="2"/>
    <n v="5"/>
    <n v="40"/>
    <d v="2025-01-10T00:00:00"/>
    <x v="111"/>
    <n v="2"/>
    <n v="993.18"/>
    <n v="1033.1799999999998"/>
    <n v="0"/>
    <n v="0"/>
    <n v="1033.1799999999998"/>
    <s v="Beth Mason"/>
    <x v="0"/>
    <x v="5"/>
    <x v="1"/>
    <x v="0"/>
  </r>
  <r>
    <x v="47"/>
    <s v="Mitchell"/>
    <s v="Parker"/>
    <n v="39"/>
    <x v="2"/>
    <x v="1"/>
    <s v="mitchell.parker@yahoo.com"/>
    <s v="PSC 3316, Box 9303, APO AE 29513"/>
    <s v="OID7359"/>
    <x v="103"/>
    <s v="14:16:13"/>
    <x v="8"/>
    <n v="257.06"/>
    <n v="4"/>
    <x v="3"/>
    <n v="3"/>
    <n v="50"/>
    <d v="2024-04-19T00:00:00"/>
    <x v="112"/>
    <n v="4"/>
    <n v="1028.24"/>
    <n v="1078.24"/>
    <n v="0.2"/>
    <n v="215.64800000000002"/>
    <n v="862.59199999999998"/>
    <s v="Mitchell Parker"/>
    <x v="1"/>
    <x v="3"/>
    <x v="0"/>
    <x v="3"/>
  </r>
  <r>
    <x v="57"/>
    <s v="Joseph"/>
    <s v="Gaines"/>
    <n v="47"/>
    <x v="2"/>
    <x v="2"/>
    <s v="joseph.gaines@outlook.com"/>
    <s v="37549 Pope Isle Apt. 202, Tylerborough, MO 60042"/>
    <s v="OID3570"/>
    <x v="103"/>
    <s v="05:44:11"/>
    <x v="45"/>
    <n v="381.73"/>
    <n v="4"/>
    <x v="4"/>
    <n v="1"/>
    <n v="66"/>
    <d v="2024-04-18T00:00:00"/>
    <x v="113"/>
    <n v="3"/>
    <n v="1526.92"/>
    <n v="1592.92"/>
    <n v="0.1"/>
    <n v="159.29200000000003"/>
    <n v="1433.6280000000002"/>
    <s v="Joseph Gaines"/>
    <x v="1"/>
    <x v="3"/>
    <x v="0"/>
    <x v="0"/>
  </r>
  <r>
    <x v="67"/>
    <s v="Barbara"/>
    <s v="Fuller"/>
    <n v="43"/>
    <x v="2"/>
    <x v="5"/>
    <s v="barbara.fuller@rediffmail.com"/>
    <s v="134 Mcintosh Unions Suite 574, Lake Laura, DE 96577"/>
    <s v="OID2519"/>
    <x v="104"/>
    <s v="19:28:31"/>
    <x v="28"/>
    <n v="431.44"/>
    <n v="5"/>
    <x v="1"/>
    <n v="4"/>
    <n v="42"/>
    <d v="2023-12-20T00:00:00"/>
    <x v="114"/>
    <n v="4"/>
    <n v="2157.1999999999998"/>
    <n v="2199.1999999999998"/>
    <n v="0.15"/>
    <n v="329.87999999999994"/>
    <n v="1869.32"/>
    <s v="Barbara Fuller"/>
    <x v="2"/>
    <x v="7"/>
    <x v="2"/>
    <x v="1"/>
  </r>
  <r>
    <x v="52"/>
    <s v="Brandon"/>
    <s v="Cruz"/>
    <n v="32"/>
    <x v="2"/>
    <x v="3"/>
    <s v="brandon.cruz@gmail.com"/>
    <s v="9296 Villanueva Branch, East Kevin, CO 93912"/>
    <s v="OID1134"/>
    <x v="105"/>
    <s v="06:22:42"/>
    <x v="9"/>
    <n v="175.93"/>
    <n v="5"/>
    <x v="2"/>
    <n v="5"/>
    <n v="63"/>
    <d v="2023-07-31T00:00:00"/>
    <x v="115"/>
    <n v="7"/>
    <n v="879.65000000000009"/>
    <n v="942.65000000000009"/>
    <n v="0"/>
    <n v="0"/>
    <n v="942.65000000000009"/>
    <s v="Brandon Cruz"/>
    <x v="1"/>
    <x v="9"/>
    <x v="2"/>
    <x v="2"/>
  </r>
  <r>
    <x v="8"/>
    <s v="Bobby"/>
    <s v="Forbes"/>
    <n v="20"/>
    <x v="0"/>
    <x v="3"/>
    <s v="bobby.forbes@gmail.com"/>
    <s v="3079 John Parkway Suite 961, Port Kristaview, MT 91019"/>
    <s v="OID8270"/>
    <x v="106"/>
    <s v="03:53:04"/>
    <x v="2"/>
    <n v="202.54"/>
    <n v="5"/>
    <x v="0"/>
    <n v="2"/>
    <n v="68"/>
    <d v="2023-08-21T00:00:00"/>
    <x v="116"/>
    <n v="3"/>
    <n v="1012.6999999999999"/>
    <n v="1080.6999999999998"/>
    <n v="0.08"/>
    <n v="86.455999999999989"/>
    <n v="994.2439999999998"/>
    <s v="Bobby Forbes"/>
    <x v="1"/>
    <x v="10"/>
    <x v="2"/>
    <x v="2"/>
  </r>
  <r>
    <x v="56"/>
    <s v="Kelli"/>
    <s v="Smith"/>
    <n v="18"/>
    <x v="1"/>
    <x v="1"/>
    <s v="kelli.smith@rediffmail.com"/>
    <s v="788 Kristina Lane, Montoyaside, VA 90756"/>
    <s v="OID9515"/>
    <x v="107"/>
    <s v="13:06:48"/>
    <x v="8"/>
    <n v="257.06"/>
    <n v="4"/>
    <x v="4"/>
    <n v="1"/>
    <n v="65"/>
    <d v="2023-04-09T00:00:00"/>
    <x v="117"/>
    <n v="2"/>
    <n v="1028.24"/>
    <n v="1093.24"/>
    <n v="0.1"/>
    <n v="109.32400000000001"/>
    <n v="983.91599999999994"/>
    <s v="Kelli Smith"/>
    <x v="1"/>
    <x v="3"/>
    <x v="2"/>
    <x v="1"/>
  </r>
  <r>
    <x v="68"/>
    <s v="Kristina"/>
    <s v="Haynes"/>
    <n v="27"/>
    <x v="0"/>
    <x v="1"/>
    <s v="kristina.haynes@yahoo.com"/>
    <s v="18295 Thomas River, Kochville, NH 80868"/>
    <s v="OID6608"/>
    <x v="89"/>
    <s v="10:28:03"/>
    <x v="46"/>
    <n v="20"/>
    <n v="1"/>
    <x v="4"/>
    <n v="4"/>
    <n v="68"/>
    <d v="2023-09-16T00:00:00"/>
    <x v="118"/>
    <n v="2"/>
    <n v="20"/>
    <n v="88"/>
    <n v="0.1"/>
    <n v="8.8000000000000007"/>
    <n v="79.2"/>
    <s v="Kristina Haynes"/>
    <x v="0"/>
    <x v="4"/>
    <x v="2"/>
    <x v="3"/>
  </r>
  <r>
    <x v="69"/>
    <s v="Lindsey"/>
    <s v="Byrd"/>
    <n v="32"/>
    <x v="0"/>
    <x v="5"/>
    <s v="lindsey.byrd@rediffmail.com"/>
    <s v="USCGC Harper, FPO AA 38349"/>
    <s v="OID3035"/>
    <x v="108"/>
    <s v="22:11:06"/>
    <x v="14"/>
    <n v="20.7"/>
    <n v="2"/>
    <x v="2"/>
    <n v="7"/>
    <n v="43"/>
    <d v="2023-06-30T00:00:00"/>
    <x v="119"/>
    <n v="1"/>
    <n v="41.4"/>
    <n v="84.4"/>
    <n v="0"/>
    <n v="0"/>
    <n v="84.4"/>
    <s v="Lindsey Byrd"/>
    <x v="0"/>
    <x v="6"/>
    <x v="2"/>
    <x v="1"/>
  </r>
  <r>
    <x v="12"/>
    <s v="Joshua"/>
    <s v="Campbell"/>
    <n v="24"/>
    <x v="0"/>
    <x v="5"/>
    <s v="joshua.campbell@gmail.com"/>
    <s v="70426 Lindsey Overpass Apt. 030, Jessicafurt, AR 46269"/>
    <s v="OID4548"/>
    <x v="109"/>
    <s v="14:00:52"/>
    <x v="45"/>
    <n v="381.73"/>
    <n v="2"/>
    <x v="2"/>
    <n v="6"/>
    <n v="41"/>
    <d v="2023-03-23T00:00:00"/>
    <x v="120"/>
    <n v="5"/>
    <n v="763.46"/>
    <n v="804.46"/>
    <n v="0"/>
    <n v="0"/>
    <n v="804.46"/>
    <s v="Joshua Campbell"/>
    <x v="0"/>
    <x v="0"/>
    <x v="2"/>
    <x v="2"/>
  </r>
  <r>
    <x v="26"/>
    <s v="Heather"/>
    <s v="Schneider"/>
    <n v="48"/>
    <x v="1"/>
    <x v="3"/>
    <s v="heather.schneider@outlook.com"/>
    <s v="57940 Susan Creek Apt. 541, Port Aliciamouth, OR 90221"/>
    <s v="OID5978"/>
    <x v="110"/>
    <s v="07:11:09"/>
    <x v="24"/>
    <n v="481.48"/>
    <n v="1"/>
    <x v="0"/>
    <n v="1"/>
    <n v="69"/>
    <d v="2024-07-30T00:00:00"/>
    <x v="121"/>
    <n v="4"/>
    <n v="481.48"/>
    <n v="550.48"/>
    <n v="0.08"/>
    <n v="44.038400000000003"/>
    <n v="506.44159999999999"/>
    <s v="Heather Schneider"/>
    <x v="1"/>
    <x v="9"/>
    <x v="0"/>
    <x v="0"/>
  </r>
  <r>
    <x v="51"/>
    <s v="Jason"/>
    <s v="Nguyen"/>
    <n v="51"/>
    <x v="2"/>
    <x v="4"/>
    <s v="jason.nguyen@yahoo.com"/>
    <s v="7112 Travis Glens Suite 790, Crystalland, WV 38373"/>
    <s v="OID6297"/>
    <x v="111"/>
    <s v="12:09:51"/>
    <x v="25"/>
    <n v="77.84"/>
    <n v="2"/>
    <x v="0"/>
    <n v="6"/>
    <n v="36"/>
    <d v="2024-02-19T00:00:00"/>
    <x v="122"/>
    <n v="6"/>
    <n v="155.68"/>
    <n v="191.68"/>
    <n v="0.08"/>
    <n v="15.3344"/>
    <n v="176.34560000000002"/>
    <s v="Jason Nguyen"/>
    <x v="2"/>
    <x v="1"/>
    <x v="0"/>
    <x v="3"/>
  </r>
  <r>
    <x v="36"/>
    <s v="Jason"/>
    <s v="Lopez"/>
    <n v="40"/>
    <x v="2"/>
    <x v="6"/>
    <s v="jason.lopez@outlook.com"/>
    <s v="934 Levine View, Brentport, NE 38210"/>
    <s v="OID5108"/>
    <x v="112"/>
    <s v="10:51:20"/>
    <x v="34"/>
    <n v="136.30000000000001"/>
    <n v="1"/>
    <x v="3"/>
    <n v="4"/>
    <n v="41"/>
    <d v="2023-09-20T00:00:00"/>
    <x v="123"/>
    <n v="3"/>
    <n v="136.30000000000001"/>
    <n v="177.3"/>
    <n v="0.2"/>
    <n v="35.46"/>
    <n v="141.84"/>
    <s v="Jason Lopez"/>
    <x v="0"/>
    <x v="4"/>
    <x v="2"/>
    <x v="0"/>
  </r>
  <r>
    <x v="38"/>
    <s v="John"/>
    <s v="Ramirez"/>
    <n v="28"/>
    <x v="2"/>
    <x v="4"/>
    <s v="john.ramirez@outlook.com"/>
    <s v="02797 Martin Landing, South Michelle, VT 98781"/>
    <s v="OID4599"/>
    <x v="55"/>
    <s v="23:40:15"/>
    <x v="43"/>
    <n v="424.82"/>
    <n v="3"/>
    <x v="0"/>
    <n v="2"/>
    <n v="67"/>
    <d v="2023-10-16T00:00:00"/>
    <x v="124"/>
    <n v="2"/>
    <n v="1274.46"/>
    <n v="1341.46"/>
    <n v="0.08"/>
    <n v="107.3168"/>
    <n v="1234.1432"/>
    <s v="John Ramirez"/>
    <x v="2"/>
    <x v="8"/>
    <x v="2"/>
    <x v="0"/>
  </r>
  <r>
    <x v="16"/>
    <s v="Traci"/>
    <s v="Jones"/>
    <n v="34"/>
    <x v="0"/>
    <x v="3"/>
    <s v="traci.jones@yahoo.com"/>
    <s v="4016 Ryan Passage, Collinsside, PA 88777"/>
    <s v="OID1418"/>
    <x v="113"/>
    <s v="01:24:01"/>
    <x v="34"/>
    <n v="136.30000000000001"/>
    <n v="2"/>
    <x v="4"/>
    <n v="3"/>
    <n v="68"/>
    <d v="2025-01-17T00:00:00"/>
    <x v="125"/>
    <n v="7"/>
    <n v="272.60000000000002"/>
    <n v="340.6"/>
    <n v="0.1"/>
    <n v="34.06"/>
    <n v="306.54000000000002"/>
    <s v="Traci Jones"/>
    <x v="1"/>
    <x v="5"/>
    <x v="1"/>
    <x v="3"/>
  </r>
  <r>
    <x v="11"/>
    <s v="Amy"/>
    <s v="Reid"/>
    <n v="44"/>
    <x v="1"/>
    <x v="3"/>
    <s v="amy.reid@rediffmail.com"/>
    <s v="6262 Simpson Village, North Danielle, RI 76074"/>
    <s v="OID1411"/>
    <x v="93"/>
    <s v="11:34:01"/>
    <x v="28"/>
    <n v="431.44"/>
    <n v="4"/>
    <x v="1"/>
    <n v="2"/>
    <n v="66"/>
    <d v="2024-12-11T00:00:00"/>
    <x v="126"/>
    <n v="1"/>
    <n v="1725.76"/>
    <n v="1791.76"/>
    <n v="0.15"/>
    <n v="268.76400000000001"/>
    <n v="1522.9960000000001"/>
    <s v="Amy Reid"/>
    <x v="0"/>
    <x v="7"/>
    <x v="0"/>
    <x v="1"/>
  </r>
  <r>
    <x v="63"/>
    <s v="Gregory"/>
    <s v="Lee"/>
    <n v="26"/>
    <x v="2"/>
    <x v="2"/>
    <s v="gregory.lee@rediffmail.com"/>
    <s v="619 Parker Turnpike Apt. 025, West Brucehaven, ID 48437"/>
    <s v="OID8692"/>
    <x v="114"/>
    <s v="02:04:13"/>
    <x v="16"/>
    <n v="132.97"/>
    <n v="5"/>
    <x v="3"/>
    <n v="3"/>
    <n v="45"/>
    <d v="2024-06-09T00:00:00"/>
    <x v="127"/>
    <n v="2"/>
    <n v="664.85"/>
    <n v="709.85"/>
    <n v="0.2"/>
    <n v="141.97"/>
    <n v="567.88"/>
    <s v="Gregory Lee"/>
    <x v="0"/>
    <x v="6"/>
    <x v="0"/>
    <x v="1"/>
  </r>
  <r>
    <x v="51"/>
    <s v="Jason"/>
    <s v="Nguyen"/>
    <n v="51"/>
    <x v="2"/>
    <x v="4"/>
    <s v="jason.nguyen@yahoo.com"/>
    <s v="7112 Travis Glens Suite 790, Crystalland, WV 38373"/>
    <s v="OID4402"/>
    <x v="115"/>
    <s v="22:18:21"/>
    <x v="12"/>
    <n v="272.51"/>
    <n v="4"/>
    <x v="2"/>
    <n v="2"/>
    <n v="42"/>
    <d v="2024-11-03T00:00:00"/>
    <x v="128"/>
    <n v="1"/>
    <n v="1090.04"/>
    <n v="1132.04"/>
    <n v="0"/>
    <n v="0"/>
    <n v="1132.04"/>
    <s v="Jason Nguyen"/>
    <x v="0"/>
    <x v="11"/>
    <x v="0"/>
    <x v="3"/>
  </r>
  <r>
    <x v="1"/>
    <s v="Anthony"/>
    <s v="Thomas"/>
    <n v="53"/>
    <x v="1"/>
    <x v="1"/>
    <s v="anthony.thomas@rediffmail.com"/>
    <s v="931 Christopher Ways Suite 833, North Michelle, IN 53484"/>
    <s v="OID1309"/>
    <x v="116"/>
    <s v="08:18:11"/>
    <x v="2"/>
    <n v="202.54"/>
    <n v="2"/>
    <x v="3"/>
    <n v="6"/>
    <n v="70"/>
    <d v="2024-10-29T00:00:00"/>
    <x v="129"/>
    <n v="5"/>
    <n v="405.08"/>
    <n v="475.08"/>
    <n v="0.2"/>
    <n v="95.016000000000005"/>
    <n v="380.06399999999996"/>
    <s v="Anthony Thomas"/>
    <x v="0"/>
    <x v="8"/>
    <x v="0"/>
    <x v="1"/>
  </r>
  <r>
    <x v="6"/>
    <s v="Marcus"/>
    <s v="Valenzuela"/>
    <n v="39"/>
    <x v="0"/>
    <x v="0"/>
    <s v="marcus.valenzuela@yahoo.com"/>
    <s v="694 Graham Prairie Apt. 887, Jimenezfurt, MI 33044"/>
    <s v="OID2746"/>
    <x v="117"/>
    <s v="10:44:36"/>
    <x v="34"/>
    <n v="136.30000000000001"/>
    <n v="2"/>
    <x v="4"/>
    <n v="2"/>
    <n v="51"/>
    <d v="2025-02-06T00:00:00"/>
    <x v="130"/>
    <n v="5"/>
    <n v="272.60000000000002"/>
    <n v="323.60000000000002"/>
    <n v="0.1"/>
    <n v="32.360000000000007"/>
    <n v="291.24"/>
    <s v="Marcus Valenzuela"/>
    <x v="1"/>
    <x v="1"/>
    <x v="1"/>
    <x v="3"/>
  </r>
  <r>
    <x v="20"/>
    <s v="John"/>
    <s v="Herrera"/>
    <n v="64"/>
    <x v="1"/>
    <x v="1"/>
    <s v="john.herrera@outlook.com"/>
    <s v="61263 Jacob Isle, Amandatown, TN 34321"/>
    <s v="OID9360"/>
    <x v="118"/>
    <s v="17:09:22"/>
    <x v="39"/>
    <n v="403.03"/>
    <n v="5"/>
    <x v="2"/>
    <n v="7"/>
    <n v="52"/>
    <d v="2023-06-20T00:00:00"/>
    <x v="131"/>
    <n v="3"/>
    <n v="2015.1499999999999"/>
    <n v="2067.1499999999996"/>
    <n v="0"/>
    <n v="0"/>
    <n v="2067.1499999999996"/>
    <s v="John Herrera"/>
    <x v="0"/>
    <x v="6"/>
    <x v="2"/>
    <x v="0"/>
  </r>
  <r>
    <x v="31"/>
    <s v="Donna"/>
    <s v="Oneill"/>
    <n v="70"/>
    <x v="0"/>
    <x v="6"/>
    <s v="donna.oneill@yahoo.com"/>
    <s v="464 Carolyn Crest Suite 738, Lake Isaiah, CA 66153"/>
    <s v="OID6453"/>
    <x v="119"/>
    <s v="07:07:24"/>
    <x v="39"/>
    <n v="403.03"/>
    <n v="4"/>
    <x v="4"/>
    <n v="6"/>
    <n v="47"/>
    <d v="2023-12-23T00:00:00"/>
    <x v="132"/>
    <n v="2"/>
    <n v="1612.12"/>
    <n v="1659.12"/>
    <n v="0.1"/>
    <n v="165.91200000000001"/>
    <n v="1493.2079999999999"/>
    <s v="Donna Oneill"/>
    <x v="0"/>
    <x v="7"/>
    <x v="2"/>
    <x v="3"/>
  </r>
  <r>
    <x v="70"/>
    <s v="Edward"/>
    <s v="Black"/>
    <n v="42"/>
    <x v="0"/>
    <x v="2"/>
    <s v="edward.black@gmail.com"/>
    <s v="5879 Susan Via Apt. 886, Sandovalbury, WV 61449"/>
    <s v="OID9745"/>
    <x v="120"/>
    <s v="07:27:27"/>
    <x v="10"/>
    <n v="190.1"/>
    <n v="5"/>
    <x v="3"/>
    <n v="4"/>
    <n v="37"/>
    <d v="2023-02-27T00:00:00"/>
    <x v="133"/>
    <n v="5"/>
    <n v="950.5"/>
    <n v="987.5"/>
    <n v="0.2"/>
    <n v="197.5"/>
    <n v="790"/>
    <s v="Edward Black"/>
    <x v="1"/>
    <x v="1"/>
    <x v="2"/>
    <x v="2"/>
  </r>
  <r>
    <x v="71"/>
    <s v="James"/>
    <s v="Brown"/>
    <n v="60"/>
    <x v="0"/>
    <x v="4"/>
    <s v="james.brown@yahoo.com"/>
    <s v="221 Frey Crossing Suite 192, South Taylorland, HI 72875"/>
    <s v="OID4081"/>
    <x v="121"/>
    <s v="00:30:57"/>
    <x v="34"/>
    <n v="136.30000000000001"/>
    <n v="4"/>
    <x v="2"/>
    <n v="5"/>
    <n v="61"/>
    <d v="2025-01-11T00:00:00"/>
    <x v="134"/>
    <n v="5"/>
    <n v="545.20000000000005"/>
    <n v="606.20000000000005"/>
    <n v="0"/>
    <n v="0"/>
    <n v="606.20000000000005"/>
    <s v="James Brown"/>
    <x v="2"/>
    <x v="5"/>
    <x v="1"/>
    <x v="3"/>
  </r>
  <r>
    <x v="72"/>
    <s v="Leslie"/>
    <s v="Montgomery"/>
    <n v="26"/>
    <x v="1"/>
    <x v="5"/>
    <s v="leslie.montgomery@gmail.com"/>
    <s v="135 Teresa Oval Apt. 825, East Katherineport, WY 13714"/>
    <s v="OID3967"/>
    <x v="122"/>
    <s v="20:10:38"/>
    <x v="42"/>
    <n v="235.63"/>
    <n v="1"/>
    <x v="3"/>
    <n v="2"/>
    <n v="66"/>
    <d v="2023-11-03T00:00:00"/>
    <x v="135"/>
    <n v="7"/>
    <n v="235.63"/>
    <n v="301.63"/>
    <n v="0.2"/>
    <n v="60.326000000000001"/>
    <n v="241.304"/>
    <s v="Leslie Montgomery"/>
    <x v="1"/>
    <x v="8"/>
    <x v="2"/>
    <x v="2"/>
  </r>
  <r>
    <x v="73"/>
    <s v="Susan"/>
    <s v="Thompson"/>
    <n v="37"/>
    <x v="2"/>
    <x v="7"/>
    <s v="susan.thompson@outlook.com"/>
    <s v="47821 William Station, East Ashleymouth, FL 20562"/>
    <s v="OID9112"/>
    <x v="123"/>
    <s v="14:57:06"/>
    <x v="41"/>
    <n v="433.62"/>
    <n v="4"/>
    <x v="3"/>
    <n v="3"/>
    <n v="36"/>
    <d v="2023-11-22T00:00:00"/>
    <x v="136"/>
    <n v="3"/>
    <n v="1734.48"/>
    <n v="1770.48"/>
    <n v="0.2"/>
    <n v="354.096"/>
    <n v="1416.384"/>
    <s v="Susan Thompson"/>
    <x v="2"/>
    <x v="11"/>
    <x v="2"/>
    <x v="0"/>
  </r>
  <r>
    <x v="67"/>
    <s v="Barbara"/>
    <s v="Fuller"/>
    <n v="43"/>
    <x v="2"/>
    <x v="5"/>
    <s v="barbara.fuller@rediffmail.com"/>
    <s v="134 Mcintosh Unions Suite 574, Lake Laura, DE 96577"/>
    <s v="OID8628"/>
    <x v="124"/>
    <s v="10:20:44"/>
    <x v="21"/>
    <n v="157.63999999999999"/>
    <n v="5"/>
    <x v="2"/>
    <n v="7"/>
    <n v="36"/>
    <d v="2024-02-10T00:00:00"/>
    <x v="137"/>
    <n v="1"/>
    <n v="788.19999999999993"/>
    <n v="824.19999999999993"/>
    <n v="0"/>
    <n v="0"/>
    <n v="824.19999999999993"/>
    <s v="Barbara Fuller"/>
    <x v="0"/>
    <x v="1"/>
    <x v="0"/>
    <x v="1"/>
  </r>
  <r>
    <x v="5"/>
    <s v="David"/>
    <s v="Delacruz"/>
    <n v="26"/>
    <x v="1"/>
    <x v="3"/>
    <s v="david.delacruz@rediffmail.com"/>
    <s v="USNS Ray, FPO AE 20238"/>
    <s v="OID5996"/>
    <x v="125"/>
    <s v="14:09:23"/>
    <x v="22"/>
    <n v="158.53"/>
    <n v="5"/>
    <x v="2"/>
    <n v="4"/>
    <n v="66"/>
    <d v="2023-07-04T00:00:00"/>
    <x v="138"/>
    <n v="3"/>
    <n v="792.65"/>
    <n v="858.65"/>
    <n v="0"/>
    <n v="0"/>
    <n v="858.65"/>
    <s v="David Delacruz"/>
    <x v="0"/>
    <x v="9"/>
    <x v="2"/>
    <x v="1"/>
  </r>
  <r>
    <x v="15"/>
    <s v="Mallory"/>
    <s v="Mitchell"/>
    <n v="42"/>
    <x v="1"/>
    <x v="6"/>
    <s v="mallory.mitchell@yahoo.com"/>
    <s v="710 Anthony Wall Suite 137, East Davidstad, NV 61494"/>
    <s v="OID5210"/>
    <x v="126"/>
    <s v="10:48:56"/>
    <x v="8"/>
    <n v="257.06"/>
    <n v="3"/>
    <x v="0"/>
    <n v="6"/>
    <n v="65"/>
    <d v="2023-12-29T00:00:00"/>
    <x v="139"/>
    <n v="6"/>
    <n v="771.18000000000006"/>
    <n v="836.18000000000006"/>
    <n v="0.08"/>
    <n v="66.894400000000005"/>
    <n v="769.28560000000004"/>
    <s v="Mallory Mitchell"/>
    <x v="2"/>
    <x v="7"/>
    <x v="2"/>
    <x v="3"/>
  </r>
  <r>
    <x v="69"/>
    <s v="Lindsey"/>
    <s v="Byrd"/>
    <n v="32"/>
    <x v="0"/>
    <x v="5"/>
    <s v="lindsey.byrd@rediffmail.com"/>
    <s v="USCGC Harper, FPO AA 38349"/>
    <s v="OID4415"/>
    <x v="127"/>
    <s v="10:33:35"/>
    <x v="44"/>
    <n v="110.95"/>
    <n v="4"/>
    <x v="1"/>
    <n v="1"/>
    <n v="60"/>
    <d v="2024-09-06T00:00:00"/>
    <x v="140"/>
    <n v="4"/>
    <n v="443.8"/>
    <n v="503.8"/>
    <n v="0.15"/>
    <n v="75.569999999999993"/>
    <n v="428.23"/>
    <s v="Lindsey Byrd"/>
    <x v="1"/>
    <x v="4"/>
    <x v="0"/>
    <x v="1"/>
  </r>
  <r>
    <x v="53"/>
    <s v="Jodi"/>
    <s v="Whitney"/>
    <n v="33"/>
    <x v="2"/>
    <x v="6"/>
    <s v="jodi.whitney@yahoo.com"/>
    <s v="72876 Lara Key Suite 383, Gutierrezton, OR 71683"/>
    <s v="OID6716"/>
    <x v="128"/>
    <s v="22:34:39"/>
    <x v="24"/>
    <n v="481.48"/>
    <n v="5"/>
    <x v="0"/>
    <n v="6"/>
    <n v="44"/>
    <d v="2024-11-16T00:00:00"/>
    <x v="141"/>
    <n v="3"/>
    <n v="2407.4"/>
    <n v="2451.4"/>
    <n v="0.08"/>
    <n v="196.11200000000002"/>
    <n v="2255.288"/>
    <s v="Jodi Whitney"/>
    <x v="0"/>
    <x v="11"/>
    <x v="0"/>
    <x v="3"/>
  </r>
  <r>
    <x v="49"/>
    <s v="Sarah"/>
    <s v="Butler"/>
    <n v="64"/>
    <x v="0"/>
    <x v="0"/>
    <s v="sarah.butler@rediffmail.com"/>
    <s v="14131 Edwin Shore Apt. 190, Deniseberg, MD 90905"/>
    <s v="OID9804"/>
    <x v="129"/>
    <s v="19:56:54"/>
    <x v="47"/>
    <n v="292.14999999999998"/>
    <n v="4"/>
    <x v="3"/>
    <n v="1"/>
    <n v="58"/>
    <d v="2024-10-12T00:00:00"/>
    <x v="142"/>
    <n v="1"/>
    <n v="1168.5999999999999"/>
    <n v="1226.5999999999999"/>
    <n v="0.2"/>
    <n v="245.32"/>
    <n v="981.28"/>
    <s v="Sarah Butler"/>
    <x v="2"/>
    <x v="8"/>
    <x v="0"/>
    <x v="1"/>
  </r>
  <r>
    <x v="32"/>
    <s v="Robert"/>
    <s v="Castillo"/>
    <n v="32"/>
    <x v="1"/>
    <x v="6"/>
    <s v="robert.castillo@gmail.com"/>
    <s v="7143 Brandon Skyway Suite 899, Tylerton, IA 21756"/>
    <s v="OID9798"/>
    <x v="130"/>
    <s v="19:28:23"/>
    <x v="46"/>
    <n v="20"/>
    <n v="5"/>
    <x v="1"/>
    <n v="7"/>
    <n v="40"/>
    <d v="2023-10-04T00:00:00"/>
    <x v="143"/>
    <n v="4"/>
    <n v="100"/>
    <n v="140"/>
    <n v="0.15"/>
    <n v="21"/>
    <n v="119"/>
    <s v="Robert Castillo"/>
    <x v="0"/>
    <x v="4"/>
    <x v="2"/>
    <x v="2"/>
  </r>
  <r>
    <x v="32"/>
    <s v="Robert"/>
    <s v="Castillo"/>
    <n v="32"/>
    <x v="1"/>
    <x v="6"/>
    <s v="robert.castillo@gmail.com"/>
    <s v="7143 Brandon Skyway Suite 899, Tylerton, IA 21756"/>
    <s v="OID4965"/>
    <x v="131"/>
    <s v="09:43:17"/>
    <x v="3"/>
    <n v="405"/>
    <n v="2"/>
    <x v="1"/>
    <n v="7"/>
    <n v="55"/>
    <d v="2025-01-23T00:00:00"/>
    <x v="144"/>
    <n v="3"/>
    <n v="810"/>
    <n v="865"/>
    <n v="0.15"/>
    <n v="129.75"/>
    <n v="735.25"/>
    <s v="Robert Castillo"/>
    <x v="0"/>
    <x v="5"/>
    <x v="1"/>
    <x v="2"/>
  </r>
  <r>
    <x v="54"/>
    <s v="Ashley"/>
    <s v="Romero"/>
    <n v="35"/>
    <x v="0"/>
    <x v="0"/>
    <s v="ashley.romero@yahoo.com"/>
    <s v="547 Kerry Expressway, Lake Amanda, AR 20321"/>
    <s v="OID3209"/>
    <x v="132"/>
    <s v="06:49:56"/>
    <x v="7"/>
    <n v="48.45"/>
    <n v="5"/>
    <x v="4"/>
    <n v="7"/>
    <n v="53"/>
    <d v="2024-10-23T00:00:00"/>
    <x v="145"/>
    <n v="7"/>
    <n v="242.25"/>
    <n v="295.25"/>
    <n v="0.1"/>
    <n v="29.525000000000002"/>
    <n v="265.72500000000002"/>
    <s v="Ashley Romero"/>
    <x v="2"/>
    <x v="8"/>
    <x v="0"/>
    <x v="3"/>
  </r>
  <r>
    <x v="47"/>
    <s v="Mitchell"/>
    <s v="Parker"/>
    <n v="39"/>
    <x v="2"/>
    <x v="1"/>
    <s v="mitchell.parker@yahoo.com"/>
    <s v="PSC 3316, Box 9303, APO AE 29513"/>
    <s v="OID6103"/>
    <x v="128"/>
    <s v="00:43:57"/>
    <x v="2"/>
    <n v="202.54"/>
    <n v="1"/>
    <x v="0"/>
    <n v="4"/>
    <n v="48"/>
    <d v="2024-11-15T00:00:00"/>
    <x v="146"/>
    <n v="2"/>
    <n v="202.54"/>
    <n v="250.54"/>
    <n v="0.08"/>
    <n v="20.043199999999999"/>
    <n v="230.49680000000001"/>
    <s v="Mitchell Parker"/>
    <x v="0"/>
    <x v="11"/>
    <x v="0"/>
    <x v="3"/>
  </r>
  <r>
    <x v="68"/>
    <s v="Kristina"/>
    <s v="Haynes"/>
    <n v="27"/>
    <x v="0"/>
    <x v="1"/>
    <s v="kristina.haynes@yahoo.com"/>
    <s v="18295 Thomas River, Kochville, NH 80868"/>
    <s v="OID4368"/>
    <x v="133"/>
    <s v="15:45:08"/>
    <x v="31"/>
    <n v="286.07"/>
    <n v="5"/>
    <x v="3"/>
    <n v="1"/>
    <n v="52"/>
    <d v="2023-03-01T00:00:00"/>
    <x v="147"/>
    <n v="3"/>
    <n v="1430.35"/>
    <n v="1482.35"/>
    <n v="0.2"/>
    <n v="296.46999999999997"/>
    <n v="1185.8799999999999"/>
    <s v="Kristina Haynes"/>
    <x v="1"/>
    <x v="1"/>
    <x v="2"/>
    <x v="3"/>
  </r>
  <r>
    <x v="44"/>
    <s v="Lori"/>
    <s v="Cook"/>
    <n v="18"/>
    <x v="1"/>
    <x v="1"/>
    <s v="lori.cook@rediffmail.com"/>
    <s v="86837 Bell Meadows, North Jasonshire, UT 51354"/>
    <s v="OID1692"/>
    <x v="1"/>
    <s v="03:06:30"/>
    <x v="2"/>
    <n v="202.54"/>
    <n v="4"/>
    <x v="4"/>
    <n v="1"/>
    <n v="36"/>
    <d v="2024-03-29T00:00:00"/>
    <x v="148"/>
    <n v="2"/>
    <n v="810.16"/>
    <n v="846.16"/>
    <n v="0.1"/>
    <n v="84.616"/>
    <n v="761.54399999999998"/>
    <s v="Lori Cook"/>
    <x v="1"/>
    <x v="0"/>
    <x v="0"/>
    <x v="1"/>
  </r>
  <r>
    <x v="25"/>
    <s v="Teresa"/>
    <s v="Harvey"/>
    <n v="64"/>
    <x v="2"/>
    <x v="0"/>
    <s v="teresa.harvey@gmail.com"/>
    <s v="02669 Kirk Squares, Davisville, VA 51272"/>
    <s v="OID9808"/>
    <x v="134"/>
    <s v="13:02:42"/>
    <x v="29"/>
    <n v="44.5"/>
    <n v="3"/>
    <x v="0"/>
    <n v="6"/>
    <n v="46"/>
    <d v="2023-03-06T00:00:00"/>
    <x v="149"/>
    <n v="2"/>
    <n v="133.5"/>
    <n v="179.5"/>
    <n v="0.08"/>
    <n v="14.36"/>
    <n v="165.14"/>
    <s v="Teresa Harvey"/>
    <x v="0"/>
    <x v="0"/>
    <x v="2"/>
    <x v="2"/>
  </r>
  <r>
    <x v="74"/>
    <s v="Amy"/>
    <s v="Griffin"/>
    <n v="29"/>
    <x v="0"/>
    <x v="1"/>
    <s v="amy.griffin@rediffmail.com"/>
    <s v="07350 Aaron Meadow Suite 138, Kiaraberg, AL 79545"/>
    <s v="OID3568"/>
    <x v="135"/>
    <s v="10:25:49"/>
    <x v="24"/>
    <n v="481.48"/>
    <n v="4"/>
    <x v="2"/>
    <n v="3"/>
    <n v="54"/>
    <d v="2023-11-26T00:00:00"/>
    <x v="150"/>
    <n v="5"/>
    <n v="1925.92"/>
    <n v="1979.92"/>
    <n v="0"/>
    <n v="0"/>
    <n v="1979.92"/>
    <s v="Amy Griffin"/>
    <x v="1"/>
    <x v="11"/>
    <x v="2"/>
    <x v="1"/>
  </r>
  <r>
    <x v="53"/>
    <s v="Jodi"/>
    <s v="Whitney"/>
    <n v="33"/>
    <x v="2"/>
    <x v="6"/>
    <s v="jodi.whitney@yahoo.com"/>
    <s v="72876 Lara Key Suite 383, Gutierrezton, OR 71683"/>
    <s v="OID3469"/>
    <x v="136"/>
    <s v="04:33:43"/>
    <x v="25"/>
    <n v="77.84"/>
    <n v="5"/>
    <x v="4"/>
    <n v="1"/>
    <n v="41"/>
    <d v="2023-10-07T00:00:00"/>
    <x v="151"/>
    <n v="6"/>
    <n v="389.20000000000005"/>
    <n v="430.20000000000005"/>
    <n v="0.1"/>
    <n v="43.02000000000001"/>
    <n v="387.18000000000006"/>
    <s v="Jodi Whitney"/>
    <x v="1"/>
    <x v="8"/>
    <x v="2"/>
    <x v="3"/>
  </r>
  <r>
    <x v="45"/>
    <s v="Debra"/>
    <s v="Hayes"/>
    <n v="33"/>
    <x v="0"/>
    <x v="6"/>
    <s v="debra.hayes@yahoo.com"/>
    <s v="4601 Miller Lock, Williamsbury, IA 10943"/>
    <s v="OID6217"/>
    <x v="137"/>
    <s v="15:45:02"/>
    <x v="27"/>
    <n v="496.59"/>
    <n v="2"/>
    <x v="4"/>
    <n v="5"/>
    <n v="40"/>
    <d v="2024-02-09T00:00:00"/>
    <x v="152"/>
    <n v="1"/>
    <n v="993.18"/>
    <n v="1033.1799999999998"/>
    <n v="0.1"/>
    <n v="103.31799999999998"/>
    <n v="929.86199999999985"/>
    <s v="Debra Hayes"/>
    <x v="0"/>
    <x v="1"/>
    <x v="0"/>
    <x v="3"/>
  </r>
  <r>
    <x v="25"/>
    <s v="Teresa"/>
    <s v="Harvey"/>
    <n v="64"/>
    <x v="2"/>
    <x v="0"/>
    <s v="teresa.harvey@gmail.com"/>
    <s v="02669 Kirk Squares, Davisville, VA 51272"/>
    <s v="OID9257"/>
    <x v="138"/>
    <s v="18:37:45"/>
    <x v="11"/>
    <n v="220.27"/>
    <n v="3"/>
    <x v="0"/>
    <n v="6"/>
    <n v="48"/>
    <d v="2023-07-25T00:00:00"/>
    <x v="153"/>
    <n v="3"/>
    <n v="660.81000000000006"/>
    <n v="708.81000000000006"/>
    <n v="0.08"/>
    <n v="56.704800000000006"/>
    <n v="652.10520000000008"/>
    <s v="Teresa Harvey"/>
    <x v="0"/>
    <x v="9"/>
    <x v="2"/>
    <x v="2"/>
  </r>
  <r>
    <x v="24"/>
    <s v="Lauren"/>
    <s v="Long"/>
    <n v="44"/>
    <x v="0"/>
    <x v="7"/>
    <s v="lauren.long@gmail.com"/>
    <s v="258 Michael Brooks Suite 363, Arnoldview, PA 49438"/>
    <s v="OID7258"/>
    <x v="139"/>
    <s v="20:25:23"/>
    <x v="23"/>
    <n v="129.75"/>
    <n v="1"/>
    <x v="2"/>
    <n v="7"/>
    <n v="44"/>
    <d v="2024-10-26T00:00:00"/>
    <x v="154"/>
    <n v="7"/>
    <n v="129.75"/>
    <n v="173.75"/>
    <n v="0"/>
    <n v="0"/>
    <n v="173.75"/>
    <s v="Lauren Long"/>
    <x v="2"/>
    <x v="8"/>
    <x v="0"/>
    <x v="2"/>
  </r>
  <r>
    <x v="67"/>
    <s v="Barbara"/>
    <s v="Fuller"/>
    <n v="43"/>
    <x v="2"/>
    <x v="5"/>
    <s v="barbara.fuller@rediffmail.com"/>
    <s v="134 Mcintosh Unions Suite 574, Lake Laura, DE 96577"/>
    <s v="OID8380"/>
    <x v="140"/>
    <s v="10:35:10"/>
    <x v="34"/>
    <n v="136.30000000000001"/>
    <n v="1"/>
    <x v="1"/>
    <n v="1"/>
    <n v="64"/>
    <d v="2024-01-05T00:00:00"/>
    <x v="155"/>
    <n v="5"/>
    <n v="136.30000000000001"/>
    <n v="200.3"/>
    <n v="0.15"/>
    <n v="30.045000000000002"/>
    <n v="170.255"/>
    <s v="Barbara Fuller"/>
    <x v="1"/>
    <x v="7"/>
    <x v="2"/>
    <x v="1"/>
  </r>
  <r>
    <x v="40"/>
    <s v="Mary"/>
    <s v="Knight"/>
    <n v="28"/>
    <x v="2"/>
    <x v="2"/>
    <s v="mary.knight@yahoo.com"/>
    <s v="907 Kimberly Hill, Murrayfort, NH 88384"/>
    <s v="OID9224"/>
    <x v="141"/>
    <s v="21:35:45"/>
    <x v="31"/>
    <n v="286.07"/>
    <n v="2"/>
    <x v="0"/>
    <n v="3"/>
    <n v="54"/>
    <d v="2024-07-12T00:00:00"/>
    <x v="156"/>
    <n v="3"/>
    <n v="572.14"/>
    <n v="626.14"/>
    <n v="0.08"/>
    <n v="50.091200000000001"/>
    <n v="576.04880000000003"/>
    <s v="Mary Knight"/>
    <x v="2"/>
    <x v="9"/>
    <x v="0"/>
    <x v="3"/>
  </r>
  <r>
    <x v="49"/>
    <s v="Sarah"/>
    <s v="Butler"/>
    <n v="64"/>
    <x v="0"/>
    <x v="0"/>
    <s v="sarah.butler@rediffmail.com"/>
    <s v="14131 Edwin Shore Apt. 190, Deniseberg, MD 90905"/>
    <s v="OID4506"/>
    <x v="142"/>
    <s v="16:54:11"/>
    <x v="5"/>
    <n v="363.64"/>
    <n v="2"/>
    <x v="2"/>
    <n v="4"/>
    <n v="40"/>
    <d v="2023-06-14T00:00:00"/>
    <x v="157"/>
    <n v="2"/>
    <n v="727.28"/>
    <n v="767.28"/>
    <n v="0"/>
    <n v="0"/>
    <n v="767.28"/>
    <s v="Sarah Butler"/>
    <x v="0"/>
    <x v="6"/>
    <x v="2"/>
    <x v="1"/>
  </r>
  <r>
    <x v="40"/>
    <s v="Mary"/>
    <s v="Knight"/>
    <n v="28"/>
    <x v="2"/>
    <x v="2"/>
    <s v="mary.knight@yahoo.com"/>
    <s v="907 Kimberly Hill, Murrayfort, NH 88384"/>
    <s v="OID7689"/>
    <x v="143"/>
    <s v="10:04:46"/>
    <x v="40"/>
    <n v="445.81"/>
    <n v="5"/>
    <x v="0"/>
    <n v="6"/>
    <n v="70"/>
    <d v="2024-11-17T00:00:00"/>
    <x v="158"/>
    <n v="3"/>
    <n v="2229.0500000000002"/>
    <n v="2299.0500000000002"/>
    <n v="0.08"/>
    <n v="183.92400000000001"/>
    <n v="2115.1260000000002"/>
    <s v="Mary Knight"/>
    <x v="0"/>
    <x v="11"/>
    <x v="0"/>
    <x v="3"/>
  </r>
  <r>
    <x v="75"/>
    <s v="Rachael"/>
    <s v="Robinson"/>
    <n v="24"/>
    <x v="2"/>
    <x v="7"/>
    <s v="rachael.robinson@rediffmail.com"/>
    <s v="0889 Brady Points, Port Meganhaven, NM 26553"/>
    <s v="OID8699"/>
    <x v="144"/>
    <s v="02:22:40"/>
    <x v="44"/>
    <n v="110.95"/>
    <n v="5"/>
    <x v="3"/>
    <n v="5"/>
    <n v="62"/>
    <d v="2023-05-01T00:00:00"/>
    <x v="159"/>
    <n v="2"/>
    <n v="554.75"/>
    <n v="616.75"/>
    <n v="0.2"/>
    <n v="123.35000000000001"/>
    <n v="493.4"/>
    <s v="Rachael Robinson"/>
    <x v="0"/>
    <x v="3"/>
    <x v="2"/>
    <x v="1"/>
  </r>
  <r>
    <x v="46"/>
    <s v="Brittany"/>
    <s v="Stewart"/>
    <n v="68"/>
    <x v="2"/>
    <x v="7"/>
    <s v="brittany.stewart@gmail.com"/>
    <s v="6250 David Loaf Suite 561, North Pamelaberg, WV 63652"/>
    <s v="OID1317"/>
    <x v="145"/>
    <s v="21:52:14"/>
    <x v="13"/>
    <n v="104.18"/>
    <n v="4"/>
    <x v="0"/>
    <n v="4"/>
    <n v="45"/>
    <d v="2024-09-01T00:00:00"/>
    <x v="160"/>
    <n v="7"/>
    <n v="416.72"/>
    <n v="461.72"/>
    <n v="0.08"/>
    <n v="36.937600000000003"/>
    <n v="424.78240000000005"/>
    <s v="Brittany Stewart"/>
    <x v="1"/>
    <x v="10"/>
    <x v="0"/>
    <x v="2"/>
  </r>
  <r>
    <x v="44"/>
    <s v="Lori"/>
    <s v="Cook"/>
    <n v="18"/>
    <x v="1"/>
    <x v="1"/>
    <s v="lori.cook@rediffmail.com"/>
    <s v="86837 Bell Meadows, North Jasonshire, UT 51354"/>
    <s v="OID2429"/>
    <x v="146"/>
    <s v="08:31:11"/>
    <x v="27"/>
    <n v="496.59"/>
    <n v="4"/>
    <x v="3"/>
    <n v="1"/>
    <n v="59"/>
    <d v="2024-09-06T00:00:00"/>
    <x v="161"/>
    <n v="6"/>
    <n v="1986.36"/>
    <n v="2045.36"/>
    <n v="0.2"/>
    <n v="409.072"/>
    <n v="1636.288"/>
    <s v="Lori Cook"/>
    <x v="1"/>
    <x v="10"/>
    <x v="0"/>
    <x v="1"/>
  </r>
  <r>
    <x v="8"/>
    <s v="Bobby"/>
    <s v="Forbes"/>
    <n v="20"/>
    <x v="0"/>
    <x v="3"/>
    <s v="bobby.forbes@gmail.com"/>
    <s v="3079 John Parkway Suite 961, Port Kristaview, MT 91019"/>
    <s v="OID4514"/>
    <x v="147"/>
    <s v="20:48:48"/>
    <x v="48"/>
    <n v="107.47"/>
    <n v="5"/>
    <x v="3"/>
    <n v="6"/>
    <n v="48"/>
    <d v="2023-03-02T00:00:00"/>
    <x v="162"/>
    <n v="6"/>
    <n v="537.35"/>
    <n v="585.35"/>
    <n v="0.2"/>
    <n v="117.07000000000001"/>
    <n v="468.28000000000003"/>
    <s v="Bobby Forbes"/>
    <x v="2"/>
    <x v="1"/>
    <x v="2"/>
    <x v="2"/>
  </r>
  <r>
    <x v="75"/>
    <s v="Rachael"/>
    <s v="Robinson"/>
    <n v="24"/>
    <x v="2"/>
    <x v="7"/>
    <s v="rachael.robinson@rediffmail.com"/>
    <s v="0889 Brady Points, Port Meganhaven, NM 26553"/>
    <s v="OID6237"/>
    <x v="148"/>
    <s v="18:41:53"/>
    <x v="18"/>
    <n v="282.63"/>
    <n v="1"/>
    <x v="2"/>
    <n v="5"/>
    <n v="45"/>
    <d v="2023-10-15T00:00:00"/>
    <x v="163"/>
    <n v="7"/>
    <n v="282.63"/>
    <n v="327.63"/>
    <n v="0"/>
    <n v="0"/>
    <n v="327.63"/>
    <s v="Rachael Robinson"/>
    <x v="1"/>
    <x v="8"/>
    <x v="2"/>
    <x v="1"/>
  </r>
  <r>
    <x v="9"/>
    <s v="Joseph"/>
    <s v="Stewart"/>
    <n v="30"/>
    <x v="1"/>
    <x v="1"/>
    <s v="joseph.stewart@yahoo.com"/>
    <s v="4082 Wang Terrace Suite 040, Victorialand, ME 41532"/>
    <s v="OID6752"/>
    <x v="27"/>
    <s v="05:35:11"/>
    <x v="30"/>
    <n v="369.03"/>
    <n v="1"/>
    <x v="3"/>
    <n v="1"/>
    <n v="48"/>
    <d v="2023-09-23T00:00:00"/>
    <x v="164"/>
    <n v="7"/>
    <n v="369.03"/>
    <n v="417.03"/>
    <n v="0.2"/>
    <n v="83.406000000000006"/>
    <n v="333.62399999999997"/>
    <s v="Joseph Stewart"/>
    <x v="1"/>
    <x v="4"/>
    <x v="2"/>
    <x v="3"/>
  </r>
  <r>
    <x v="11"/>
    <s v="Amy"/>
    <s v="Reid"/>
    <n v="44"/>
    <x v="1"/>
    <x v="3"/>
    <s v="amy.reid@rediffmail.com"/>
    <s v="6262 Simpson Village, North Danielle, RI 76074"/>
    <s v="OID7059"/>
    <x v="149"/>
    <s v="11:01:20"/>
    <x v="13"/>
    <n v="104.18"/>
    <n v="2"/>
    <x v="2"/>
    <n v="2"/>
    <n v="57"/>
    <d v="2024-08-11T00:00:00"/>
    <x v="165"/>
    <n v="2"/>
    <n v="208.36"/>
    <n v="265.36"/>
    <n v="0"/>
    <n v="0"/>
    <n v="265.36"/>
    <s v="Amy Reid"/>
    <x v="2"/>
    <x v="10"/>
    <x v="0"/>
    <x v="1"/>
  </r>
  <r>
    <x v="38"/>
    <s v="John"/>
    <s v="Ramirez"/>
    <n v="28"/>
    <x v="2"/>
    <x v="4"/>
    <s v="john.ramirez@outlook.com"/>
    <s v="02797 Martin Landing, South Michelle, VT 98781"/>
    <s v="OID6264"/>
    <x v="150"/>
    <s v="08:29:32"/>
    <x v="11"/>
    <n v="220.27"/>
    <n v="2"/>
    <x v="3"/>
    <n v="1"/>
    <n v="42"/>
    <d v="2024-09-17T00:00:00"/>
    <x v="166"/>
    <n v="2"/>
    <n v="440.54"/>
    <n v="482.54"/>
    <n v="0.2"/>
    <n v="96.50800000000001"/>
    <n v="386.03200000000004"/>
    <s v="John Ramirez"/>
    <x v="1"/>
    <x v="4"/>
    <x v="0"/>
    <x v="0"/>
  </r>
  <r>
    <x v="52"/>
    <s v="Brandon"/>
    <s v="Cruz"/>
    <n v="32"/>
    <x v="2"/>
    <x v="3"/>
    <s v="brandon.cruz@gmail.com"/>
    <s v="9296 Villanueva Branch, East Kevin, CO 93912"/>
    <s v="OID5366"/>
    <x v="22"/>
    <s v="02:56:50"/>
    <x v="42"/>
    <n v="235.63"/>
    <n v="5"/>
    <x v="0"/>
    <n v="4"/>
    <n v="52"/>
    <d v="2023-07-22T00:00:00"/>
    <x v="167"/>
    <n v="4"/>
    <n v="1178.1500000000001"/>
    <n v="1230.1500000000001"/>
    <n v="0.08"/>
    <n v="98.412000000000006"/>
    <n v="1131.7380000000001"/>
    <s v="Brandon Cruz"/>
    <x v="2"/>
    <x v="9"/>
    <x v="2"/>
    <x v="2"/>
  </r>
  <r>
    <x v="58"/>
    <s v="Amy"/>
    <s v="Ellis"/>
    <n v="44"/>
    <x v="2"/>
    <x v="3"/>
    <s v="amy.ellis@gmail.com"/>
    <s v="217 Scott Ville, Christophermouth, NH 83776"/>
    <s v="OID1663"/>
    <x v="112"/>
    <s v="11:18:01"/>
    <x v="1"/>
    <n v="166.28"/>
    <n v="4"/>
    <x v="3"/>
    <n v="6"/>
    <n v="36"/>
    <d v="2023-09-24T00:00:00"/>
    <x v="168"/>
    <n v="7"/>
    <n v="665.12"/>
    <n v="701.12"/>
    <n v="0.2"/>
    <n v="140.22400000000002"/>
    <n v="560.89599999999996"/>
    <s v="Amy Ellis"/>
    <x v="1"/>
    <x v="4"/>
    <x v="2"/>
    <x v="2"/>
  </r>
  <r>
    <x v="9"/>
    <s v="Joseph"/>
    <s v="Stewart"/>
    <n v="30"/>
    <x v="1"/>
    <x v="1"/>
    <s v="joseph.stewart@yahoo.com"/>
    <s v="4082 Wang Terrace Suite 040, Victorialand, ME 41532"/>
    <s v="OID7664"/>
    <x v="151"/>
    <s v="03:11:30"/>
    <x v="3"/>
    <n v="405"/>
    <n v="5"/>
    <x v="4"/>
    <n v="6"/>
    <n v="36"/>
    <d v="2023-07-20T00:00:00"/>
    <x v="169"/>
    <n v="7"/>
    <n v="2025"/>
    <n v="2061"/>
    <n v="0.1"/>
    <n v="206.10000000000002"/>
    <n v="1854.9"/>
    <s v="Joseph Stewart"/>
    <x v="1"/>
    <x v="9"/>
    <x v="2"/>
    <x v="3"/>
  </r>
  <r>
    <x v="13"/>
    <s v="Erin"/>
    <s v="Miller"/>
    <n v="46"/>
    <x v="0"/>
    <x v="6"/>
    <s v="erin.miller@gmail.com"/>
    <s v="65972 Peterson Route, Port Andrewfurt, SD 32892"/>
    <s v="OID4364"/>
    <x v="152"/>
    <s v="04:35:15"/>
    <x v="8"/>
    <n v="257.06"/>
    <n v="2"/>
    <x v="1"/>
    <n v="7"/>
    <n v="59"/>
    <d v="2024-10-27T00:00:00"/>
    <x v="170"/>
    <n v="1"/>
    <n v="514.12"/>
    <n v="573.12"/>
    <n v="0.15"/>
    <n v="85.968000000000004"/>
    <n v="487.15199999999999"/>
    <s v="Erin Miller"/>
    <x v="0"/>
    <x v="8"/>
    <x v="0"/>
    <x v="2"/>
  </r>
  <r>
    <x v="75"/>
    <s v="Rachael"/>
    <s v="Robinson"/>
    <n v="24"/>
    <x v="2"/>
    <x v="7"/>
    <s v="rachael.robinson@rediffmail.com"/>
    <s v="0889 Brady Points, Port Meganhaven, NM 26553"/>
    <s v="OID1153"/>
    <x v="77"/>
    <s v="08:45:48"/>
    <x v="29"/>
    <n v="44.5"/>
    <n v="4"/>
    <x v="0"/>
    <n v="5"/>
    <n v="40"/>
    <d v="2024-08-27T00:00:00"/>
    <x v="171"/>
    <n v="6"/>
    <n v="178"/>
    <n v="218"/>
    <n v="0.08"/>
    <n v="17.440000000000001"/>
    <n v="200.56"/>
    <s v="Rachael Robinson"/>
    <x v="1"/>
    <x v="10"/>
    <x v="0"/>
    <x v="1"/>
  </r>
  <r>
    <x v="58"/>
    <s v="Amy"/>
    <s v="Ellis"/>
    <n v="44"/>
    <x v="2"/>
    <x v="3"/>
    <s v="amy.ellis@gmail.com"/>
    <s v="217 Scott Ville, Christophermouth, NH 83776"/>
    <s v="OID5700"/>
    <x v="153"/>
    <s v="09:39:48"/>
    <x v="29"/>
    <n v="44.5"/>
    <n v="2"/>
    <x v="1"/>
    <n v="5"/>
    <n v="52"/>
    <d v="2024-09-28T00:00:00"/>
    <x v="172"/>
    <n v="2"/>
    <n v="89"/>
    <n v="141"/>
    <n v="0.15"/>
    <n v="21.15"/>
    <n v="119.85"/>
    <s v="Amy Ellis"/>
    <x v="0"/>
    <x v="4"/>
    <x v="0"/>
    <x v="2"/>
  </r>
  <r>
    <x v="57"/>
    <s v="Joseph"/>
    <s v="Gaines"/>
    <n v="47"/>
    <x v="2"/>
    <x v="2"/>
    <s v="joseph.gaines@outlook.com"/>
    <s v="37549 Pope Isle Apt. 202, Tylerborough, MO 60042"/>
    <s v="OID1706"/>
    <x v="154"/>
    <s v="19:48:44"/>
    <x v="23"/>
    <n v="129.75"/>
    <n v="5"/>
    <x v="2"/>
    <n v="3"/>
    <n v="43"/>
    <d v="2023-05-11T00:00:00"/>
    <x v="173"/>
    <n v="6"/>
    <n v="648.75"/>
    <n v="691.75"/>
    <n v="0"/>
    <n v="0"/>
    <n v="691.75"/>
    <s v="Joseph Gaines"/>
    <x v="1"/>
    <x v="2"/>
    <x v="2"/>
    <x v="0"/>
  </r>
  <r>
    <x v="60"/>
    <s v="Christy"/>
    <s v="Chang"/>
    <n v="38"/>
    <x v="1"/>
    <x v="7"/>
    <s v="christy.chang@outlook.com"/>
    <s v="4647 Hannah Centers, Rhodesburgh, NH 89363"/>
    <s v="OID6420"/>
    <x v="155"/>
    <s v="18:18:32"/>
    <x v="20"/>
    <n v="62.42"/>
    <n v="4"/>
    <x v="3"/>
    <n v="4"/>
    <n v="37"/>
    <d v="2024-01-30T00:00:00"/>
    <x v="174"/>
    <n v="3"/>
    <n v="249.68"/>
    <n v="286.68"/>
    <n v="0.2"/>
    <n v="57.336000000000006"/>
    <n v="229.34399999999999"/>
    <s v="Christy Chang"/>
    <x v="0"/>
    <x v="5"/>
    <x v="0"/>
    <x v="0"/>
  </r>
  <r>
    <x v="65"/>
    <s v="Lisa"/>
    <s v="Miller"/>
    <n v="70"/>
    <x v="1"/>
    <x v="3"/>
    <s v="lisa.miller@gmail.com"/>
    <s v="89748 Campbell Drive, South Tannerland, WI 13143"/>
    <s v="OID2659"/>
    <x v="156"/>
    <s v="16:59:55"/>
    <x v="33"/>
    <n v="421.7"/>
    <n v="4"/>
    <x v="0"/>
    <n v="7"/>
    <n v="69"/>
    <d v="2024-08-10T00:00:00"/>
    <x v="175"/>
    <n v="6"/>
    <n v="1686.8"/>
    <n v="1755.8"/>
    <n v="0.08"/>
    <n v="140.464"/>
    <n v="1615.336"/>
    <s v="Lisa Miller"/>
    <x v="0"/>
    <x v="10"/>
    <x v="0"/>
    <x v="2"/>
  </r>
  <r>
    <x v="10"/>
    <s v="Kara"/>
    <s v="Brennan"/>
    <n v="25"/>
    <x v="2"/>
    <x v="4"/>
    <s v="kara.brennan@outlook.com"/>
    <s v="2174 Thomas Avenue, Maciasborough, NJ 41465"/>
    <s v="OID5326"/>
    <x v="157"/>
    <s v="13:40:51"/>
    <x v="49"/>
    <n v="33.49"/>
    <n v="1"/>
    <x v="2"/>
    <n v="1"/>
    <n v="59"/>
    <d v="2024-10-20T00:00:00"/>
    <x v="176"/>
    <n v="5"/>
    <n v="33.49"/>
    <n v="92.490000000000009"/>
    <n v="0"/>
    <n v="0"/>
    <n v="92.490000000000009"/>
    <s v="Kara Brennan"/>
    <x v="1"/>
    <x v="8"/>
    <x v="0"/>
    <x v="0"/>
  </r>
  <r>
    <x v="76"/>
    <s v="Natasha"/>
    <s v="Michael"/>
    <n v="49"/>
    <x v="0"/>
    <x v="1"/>
    <s v="natasha.michael@gmail.com"/>
    <s v="78992 Justin Estates Suite 226, Floresberg, NM 40797"/>
    <s v="OID4465"/>
    <x v="158"/>
    <s v="08:11:19"/>
    <x v="12"/>
    <n v="272.51"/>
    <n v="4"/>
    <x v="2"/>
    <n v="1"/>
    <n v="51"/>
    <d v="2024-07-07T00:00:00"/>
    <x v="177"/>
    <n v="2"/>
    <n v="1090.04"/>
    <n v="1141.04"/>
    <n v="0"/>
    <n v="0"/>
    <n v="1141.04"/>
    <s v="Natasha Michael"/>
    <x v="1"/>
    <x v="9"/>
    <x v="0"/>
    <x v="2"/>
  </r>
  <r>
    <x v="51"/>
    <s v="Jason"/>
    <s v="Nguyen"/>
    <n v="51"/>
    <x v="2"/>
    <x v="4"/>
    <s v="jason.nguyen@yahoo.com"/>
    <s v="7112 Travis Glens Suite 790, Crystalland, WV 38373"/>
    <s v="OID9324"/>
    <x v="159"/>
    <s v="02:27:18"/>
    <x v="37"/>
    <n v="133.62"/>
    <n v="2"/>
    <x v="0"/>
    <n v="1"/>
    <n v="48"/>
    <d v="2023-03-30T00:00:00"/>
    <x v="178"/>
    <n v="5"/>
    <n v="267.24"/>
    <n v="315.24"/>
    <n v="0.08"/>
    <n v="25.219200000000001"/>
    <n v="290.02080000000001"/>
    <s v="Jason Nguyen"/>
    <x v="1"/>
    <x v="0"/>
    <x v="2"/>
    <x v="3"/>
  </r>
  <r>
    <x v="68"/>
    <s v="Kristina"/>
    <s v="Haynes"/>
    <n v="27"/>
    <x v="0"/>
    <x v="1"/>
    <s v="kristina.haynes@yahoo.com"/>
    <s v="18295 Thomas River, Kochville, NH 80868"/>
    <s v="OID9267"/>
    <x v="71"/>
    <s v="05:33:41"/>
    <x v="8"/>
    <n v="257.06"/>
    <n v="4"/>
    <x v="2"/>
    <n v="5"/>
    <n v="52"/>
    <d v="2023-07-29T00:00:00"/>
    <x v="179"/>
    <n v="4"/>
    <n v="1028.24"/>
    <n v="1080.24"/>
    <n v="0"/>
    <n v="0"/>
    <n v="1080.24"/>
    <s v="Kristina Haynes"/>
    <x v="0"/>
    <x v="9"/>
    <x v="2"/>
    <x v="3"/>
  </r>
  <r>
    <x v="10"/>
    <s v="Kara"/>
    <s v="Brennan"/>
    <n v="25"/>
    <x v="2"/>
    <x v="4"/>
    <s v="kara.brennan@outlook.com"/>
    <s v="2174 Thomas Avenue, Maciasborough, NJ 41465"/>
    <s v="OID5402"/>
    <x v="160"/>
    <s v="18:14:45"/>
    <x v="46"/>
    <n v="20"/>
    <n v="5"/>
    <x v="1"/>
    <n v="6"/>
    <n v="36"/>
    <d v="2024-06-20T00:00:00"/>
    <x v="180"/>
    <n v="6"/>
    <n v="100"/>
    <n v="136"/>
    <n v="0.15"/>
    <n v="20.399999999999999"/>
    <n v="115.6"/>
    <s v="Kara Brennan"/>
    <x v="2"/>
    <x v="6"/>
    <x v="0"/>
    <x v="0"/>
  </r>
  <r>
    <x v="64"/>
    <s v="Bruce"/>
    <s v="Allen"/>
    <n v="32"/>
    <x v="1"/>
    <x v="0"/>
    <s v="bruce.allen@rediffmail.com"/>
    <s v="2417 Brown Ford, West Timothyside, RI 45629"/>
    <s v="OID8716"/>
    <x v="161"/>
    <s v="03:08:05"/>
    <x v="42"/>
    <n v="235.63"/>
    <n v="3"/>
    <x v="4"/>
    <n v="5"/>
    <n v="44"/>
    <d v="2024-02-25T00:00:00"/>
    <x v="181"/>
    <n v="4"/>
    <n v="706.89"/>
    <n v="750.89"/>
    <n v="0.1"/>
    <n v="75.088999999999999"/>
    <n v="675.80099999999993"/>
    <s v="Bruce Allen"/>
    <x v="0"/>
    <x v="1"/>
    <x v="0"/>
    <x v="1"/>
  </r>
  <r>
    <x v="0"/>
    <s v="Anne"/>
    <s v="Oconnell"/>
    <n v="37"/>
    <x v="0"/>
    <x v="0"/>
    <s v="anne.oconnell@outlook.com"/>
    <s v="2850 Matthew Ford, North Yolandachester, FL 67488"/>
    <s v="OID4014"/>
    <x v="162"/>
    <s v="21:06:59"/>
    <x v="37"/>
    <n v="133.62"/>
    <n v="5"/>
    <x v="2"/>
    <n v="7"/>
    <n v="58"/>
    <d v="2023-06-21T00:00:00"/>
    <x v="182"/>
    <n v="3"/>
    <n v="668.1"/>
    <n v="726.1"/>
    <n v="0"/>
    <n v="0"/>
    <n v="726.1"/>
    <s v="Anne Oconnell"/>
    <x v="0"/>
    <x v="6"/>
    <x v="2"/>
    <x v="0"/>
  </r>
  <r>
    <x v="47"/>
    <s v="Mitchell"/>
    <s v="Parker"/>
    <n v="39"/>
    <x v="2"/>
    <x v="1"/>
    <s v="mitchell.parker@yahoo.com"/>
    <s v="PSC 3316, Box 9303, APO AE 29513"/>
    <s v="OID8569"/>
    <x v="163"/>
    <s v="14:49:31"/>
    <x v="33"/>
    <n v="421.7"/>
    <n v="2"/>
    <x v="0"/>
    <n v="5"/>
    <n v="45"/>
    <d v="2024-12-27T00:00:00"/>
    <x v="183"/>
    <n v="2"/>
    <n v="843.4"/>
    <n v="888.4"/>
    <n v="0.08"/>
    <n v="71.072000000000003"/>
    <n v="817.32799999999997"/>
    <s v="Mitchell Parker"/>
    <x v="0"/>
    <x v="7"/>
    <x v="0"/>
    <x v="3"/>
  </r>
  <r>
    <x v="15"/>
    <s v="Mallory"/>
    <s v="Mitchell"/>
    <n v="42"/>
    <x v="1"/>
    <x v="6"/>
    <s v="mallory.mitchell@yahoo.com"/>
    <s v="710 Anthony Wall Suite 137, East Davidstad, NV 61494"/>
    <s v="OID6330"/>
    <x v="164"/>
    <s v="19:40:44"/>
    <x v="26"/>
    <n v="372.62"/>
    <n v="1"/>
    <x v="1"/>
    <n v="3"/>
    <n v="35"/>
    <d v="2024-06-15T00:00:00"/>
    <x v="184"/>
    <n v="3"/>
    <n v="372.62"/>
    <n v="407.62"/>
    <n v="0.15"/>
    <n v="61.143000000000001"/>
    <n v="346.47699999999998"/>
    <s v="Mallory Mitchell"/>
    <x v="2"/>
    <x v="6"/>
    <x v="0"/>
    <x v="3"/>
  </r>
  <r>
    <x v="52"/>
    <s v="Brandon"/>
    <s v="Cruz"/>
    <n v="32"/>
    <x v="2"/>
    <x v="3"/>
    <s v="brandon.cruz@gmail.com"/>
    <s v="9296 Villanueva Branch, East Kevin, CO 93912"/>
    <s v="OID6607"/>
    <x v="164"/>
    <s v="16:25:28"/>
    <x v="5"/>
    <n v="363.64"/>
    <n v="3"/>
    <x v="2"/>
    <n v="3"/>
    <n v="70"/>
    <d v="2024-06-18T00:00:00"/>
    <x v="185"/>
    <n v="6"/>
    <n v="1090.92"/>
    <n v="1160.92"/>
    <n v="0"/>
    <n v="0"/>
    <n v="1160.92"/>
    <s v="Brandon Cruz"/>
    <x v="1"/>
    <x v="6"/>
    <x v="0"/>
    <x v="2"/>
  </r>
  <r>
    <x v="4"/>
    <s v="Christine"/>
    <s v="West"/>
    <n v="53"/>
    <x v="2"/>
    <x v="2"/>
    <s v="christine.west@gmail.com"/>
    <s v="Unit 1433 Box 0246, DPO AP 94952"/>
    <s v="OID4892"/>
    <x v="153"/>
    <s v="05:57:45"/>
    <x v="4"/>
    <n v="330.11"/>
    <n v="4"/>
    <x v="3"/>
    <n v="4"/>
    <n v="47"/>
    <d v="2024-10-01T00:00:00"/>
    <x v="186"/>
    <n v="5"/>
    <n v="1320.44"/>
    <n v="1367.44"/>
    <n v="0.2"/>
    <n v="273.488"/>
    <n v="1093.952"/>
    <s v="Christine West"/>
    <x v="1"/>
    <x v="4"/>
    <x v="0"/>
    <x v="2"/>
  </r>
  <r>
    <x v="28"/>
    <s v="Jenny"/>
    <s v="Estrada"/>
    <n v="45"/>
    <x v="0"/>
    <x v="1"/>
    <s v="jenny.estrada@yahoo.com"/>
    <s v="792 Carlos Islands, West David, CT 16522"/>
    <s v="OID9692"/>
    <x v="165"/>
    <s v="13:16:36"/>
    <x v="48"/>
    <n v="107.47"/>
    <n v="1"/>
    <x v="4"/>
    <n v="5"/>
    <n v="56"/>
    <d v="2023-06-27T00:00:00"/>
    <x v="187"/>
    <n v="5"/>
    <n v="107.47"/>
    <n v="163.47"/>
    <n v="0.1"/>
    <n v="16.347000000000001"/>
    <n v="147.12299999999999"/>
    <s v="Jenny Estrada"/>
    <x v="2"/>
    <x v="6"/>
    <x v="2"/>
    <x v="3"/>
  </r>
  <r>
    <x v="13"/>
    <s v="Erin"/>
    <s v="Miller"/>
    <n v="46"/>
    <x v="0"/>
    <x v="6"/>
    <s v="erin.miller@gmail.com"/>
    <s v="65972 Peterson Route, Port Andrewfurt, SD 32892"/>
    <s v="OID4746"/>
    <x v="67"/>
    <s v="07:44:52"/>
    <x v="17"/>
    <n v="126.19"/>
    <n v="1"/>
    <x v="3"/>
    <n v="5"/>
    <n v="68"/>
    <d v="2024-10-23T00:00:00"/>
    <x v="188"/>
    <n v="2"/>
    <n v="126.19"/>
    <n v="194.19"/>
    <n v="0.2"/>
    <n v="38.838000000000001"/>
    <n v="155.352"/>
    <s v="Erin Miller"/>
    <x v="0"/>
    <x v="8"/>
    <x v="0"/>
    <x v="2"/>
  </r>
  <r>
    <x v="59"/>
    <s v="Beth"/>
    <s v="Mason"/>
    <n v="45"/>
    <x v="2"/>
    <x v="3"/>
    <s v="beth.mason@outlook.com"/>
    <s v="58998 Sherry Haven, East Richard, FL 90775"/>
    <s v="OID6057"/>
    <x v="166"/>
    <s v="12:51:15"/>
    <x v="45"/>
    <n v="381.73"/>
    <n v="2"/>
    <x v="2"/>
    <n v="5"/>
    <n v="38"/>
    <d v="2023-05-20T00:00:00"/>
    <x v="189"/>
    <n v="6"/>
    <n v="763.46"/>
    <n v="801.46"/>
    <n v="0"/>
    <n v="0"/>
    <n v="801.46"/>
    <s v="Beth Mason"/>
    <x v="1"/>
    <x v="2"/>
    <x v="2"/>
    <x v="0"/>
  </r>
  <r>
    <x v="45"/>
    <s v="Debra"/>
    <s v="Hayes"/>
    <n v="33"/>
    <x v="0"/>
    <x v="6"/>
    <s v="debra.hayes@yahoo.com"/>
    <s v="4601 Miller Lock, Williamsbury, IA 10943"/>
    <s v="OID3134"/>
    <x v="167"/>
    <s v="22:55:27"/>
    <x v="47"/>
    <n v="292.14999999999998"/>
    <n v="5"/>
    <x v="4"/>
    <n v="6"/>
    <n v="68"/>
    <d v="2023-05-25T00:00:00"/>
    <x v="190"/>
    <n v="2"/>
    <n v="1460.75"/>
    <n v="1528.75"/>
    <n v="0.1"/>
    <n v="152.875"/>
    <n v="1375.875"/>
    <s v="Debra Hayes"/>
    <x v="0"/>
    <x v="2"/>
    <x v="2"/>
    <x v="3"/>
  </r>
  <r>
    <x v="47"/>
    <s v="Mitchell"/>
    <s v="Parker"/>
    <n v="39"/>
    <x v="2"/>
    <x v="1"/>
    <s v="mitchell.parker@yahoo.com"/>
    <s v="PSC 3316, Box 9303, APO AE 29513"/>
    <s v="OID7980"/>
    <x v="168"/>
    <s v="01:31:08"/>
    <x v="34"/>
    <n v="136.30000000000001"/>
    <n v="3"/>
    <x v="1"/>
    <n v="6"/>
    <n v="42"/>
    <d v="2023-04-27T00:00:00"/>
    <x v="191"/>
    <n v="7"/>
    <n v="408.90000000000003"/>
    <n v="450.90000000000003"/>
    <n v="0.15"/>
    <n v="67.635000000000005"/>
    <n v="383.26500000000004"/>
    <s v="Mitchell Parker"/>
    <x v="1"/>
    <x v="3"/>
    <x v="2"/>
    <x v="3"/>
  </r>
  <r>
    <x v="58"/>
    <s v="Amy"/>
    <s v="Ellis"/>
    <n v="44"/>
    <x v="2"/>
    <x v="3"/>
    <s v="amy.ellis@gmail.com"/>
    <s v="217 Scott Ville, Christophermouth, NH 83776"/>
    <s v="OID7432"/>
    <x v="169"/>
    <s v="15:02:28"/>
    <x v="39"/>
    <n v="403.03"/>
    <n v="3"/>
    <x v="1"/>
    <n v="4"/>
    <n v="67"/>
    <d v="2023-10-14T00:00:00"/>
    <x v="192"/>
    <n v="5"/>
    <n v="1209.0899999999999"/>
    <n v="1276.0899999999999"/>
    <n v="0.15"/>
    <n v="191.41349999999997"/>
    <n v="1084.6765"/>
    <s v="Amy Ellis"/>
    <x v="1"/>
    <x v="8"/>
    <x v="2"/>
    <x v="2"/>
  </r>
  <r>
    <x v="40"/>
    <s v="Mary"/>
    <s v="Knight"/>
    <n v="28"/>
    <x v="2"/>
    <x v="2"/>
    <s v="mary.knight@yahoo.com"/>
    <s v="907 Kimberly Hill, Murrayfort, NH 88384"/>
    <s v="OID9465"/>
    <x v="170"/>
    <s v="06:54:02"/>
    <x v="40"/>
    <n v="445.81"/>
    <n v="2"/>
    <x v="2"/>
    <n v="7"/>
    <n v="67"/>
    <d v="2023-11-12T00:00:00"/>
    <x v="193"/>
    <n v="1"/>
    <n v="891.62"/>
    <n v="958.62"/>
    <n v="0"/>
    <n v="0"/>
    <n v="958.62"/>
    <s v="Mary Knight"/>
    <x v="0"/>
    <x v="11"/>
    <x v="2"/>
    <x v="3"/>
  </r>
  <r>
    <x v="77"/>
    <s v="Christine"/>
    <s v="Aguilar"/>
    <n v="46"/>
    <x v="0"/>
    <x v="0"/>
    <s v="christine.aguilar@gmail.com"/>
    <s v="3284 Martin Neck, Lopezville, NY 69154"/>
    <s v="OID9872"/>
    <x v="154"/>
    <s v="08:20:59"/>
    <x v="23"/>
    <n v="129.75"/>
    <n v="5"/>
    <x v="3"/>
    <n v="6"/>
    <n v="38"/>
    <d v="2023-05-11T00:00:00"/>
    <x v="194"/>
    <n v="6"/>
    <n v="648.75"/>
    <n v="686.75"/>
    <n v="0.2"/>
    <n v="137.35"/>
    <n v="549.4"/>
    <s v="Christine Aguilar"/>
    <x v="2"/>
    <x v="2"/>
    <x v="2"/>
    <x v="2"/>
  </r>
  <r>
    <x v="49"/>
    <s v="Sarah"/>
    <s v="Butler"/>
    <n v="64"/>
    <x v="0"/>
    <x v="0"/>
    <s v="sarah.butler@rediffmail.com"/>
    <s v="14131 Edwin Shore Apt. 190, Deniseberg, MD 90905"/>
    <s v="OID6856"/>
    <x v="9"/>
    <s v="14:00:27"/>
    <x v="49"/>
    <n v="33.49"/>
    <n v="3"/>
    <x v="1"/>
    <n v="2"/>
    <n v="62"/>
    <d v="2023-12-24T00:00:00"/>
    <x v="195"/>
    <n v="2"/>
    <n v="100.47"/>
    <n v="162.47"/>
    <n v="0.15"/>
    <n v="24.3705"/>
    <n v="138.09950000000001"/>
    <s v="Sarah Butler"/>
    <x v="2"/>
    <x v="7"/>
    <x v="2"/>
    <x v="1"/>
  </r>
  <r>
    <x v="52"/>
    <s v="Brandon"/>
    <s v="Cruz"/>
    <n v="32"/>
    <x v="2"/>
    <x v="3"/>
    <s v="brandon.cruz@gmail.com"/>
    <s v="9296 Villanueva Branch, East Kevin, CO 93912"/>
    <s v="OID1826"/>
    <x v="117"/>
    <s v="15:26:43"/>
    <x v="4"/>
    <n v="330.11"/>
    <n v="4"/>
    <x v="3"/>
    <n v="2"/>
    <n v="69"/>
    <d v="2025-02-07T00:00:00"/>
    <x v="196"/>
    <n v="6"/>
    <n v="1320.44"/>
    <n v="1389.44"/>
    <n v="0.2"/>
    <n v="277.88800000000003"/>
    <n v="1111.5520000000001"/>
    <s v="Brandon Cruz"/>
    <x v="1"/>
    <x v="1"/>
    <x v="1"/>
    <x v="2"/>
  </r>
  <r>
    <x v="37"/>
    <s v="Alexandra"/>
    <s v="Smith"/>
    <n v="70"/>
    <x v="0"/>
    <x v="0"/>
    <s v="alexandra.smith@rediffmail.com"/>
    <s v="48611 Clark Village, West Anne, GA 92865"/>
    <s v="OID3421"/>
    <x v="144"/>
    <s v="22:25:26"/>
    <x v="2"/>
    <n v="202.54"/>
    <n v="5"/>
    <x v="1"/>
    <n v="1"/>
    <n v="47"/>
    <d v="2023-05-05T00:00:00"/>
    <x v="197"/>
    <n v="6"/>
    <n v="1012.6999999999999"/>
    <n v="1059.6999999999998"/>
    <n v="0.15"/>
    <n v="158.95499999999996"/>
    <n v="900.74499999999989"/>
    <s v="Alexandra Smith"/>
    <x v="1"/>
    <x v="3"/>
    <x v="2"/>
    <x v="1"/>
  </r>
  <r>
    <x v="54"/>
    <s v="Ashley"/>
    <s v="Romero"/>
    <n v="35"/>
    <x v="0"/>
    <x v="0"/>
    <s v="ashley.romero@yahoo.com"/>
    <s v="547 Kerry Expressway, Lake Amanda, AR 20321"/>
    <s v="OID6869"/>
    <x v="171"/>
    <s v="00:02:50"/>
    <x v="1"/>
    <n v="166.28"/>
    <n v="4"/>
    <x v="4"/>
    <n v="4"/>
    <n v="44"/>
    <d v="2023-11-27T00:00:00"/>
    <x v="198"/>
    <n v="4"/>
    <n v="665.12"/>
    <n v="709.12"/>
    <n v="0.1"/>
    <n v="70.912000000000006"/>
    <n v="638.20799999999997"/>
    <s v="Ashley Romero"/>
    <x v="2"/>
    <x v="11"/>
    <x v="2"/>
    <x v="3"/>
  </r>
  <r>
    <x v="40"/>
    <s v="Mary"/>
    <s v="Knight"/>
    <n v="28"/>
    <x v="2"/>
    <x v="2"/>
    <s v="mary.knight@yahoo.com"/>
    <s v="907 Kimberly Hill, Murrayfort, NH 88384"/>
    <s v="OID6635"/>
    <x v="172"/>
    <s v="22:46:23"/>
    <x v="47"/>
    <n v="292.14999999999998"/>
    <n v="2"/>
    <x v="1"/>
    <n v="4"/>
    <n v="58"/>
    <d v="2024-08-22T00:00:00"/>
    <x v="199"/>
    <n v="3"/>
    <n v="584.29999999999995"/>
    <n v="642.29999999999995"/>
    <n v="0.15"/>
    <n v="96.344999999999985"/>
    <n v="545.95499999999993"/>
    <s v="Mary Knight"/>
    <x v="0"/>
    <x v="10"/>
    <x v="0"/>
    <x v="3"/>
  </r>
  <r>
    <x v="77"/>
    <s v="Christine"/>
    <s v="Aguilar"/>
    <n v="46"/>
    <x v="0"/>
    <x v="0"/>
    <s v="christine.aguilar@gmail.com"/>
    <s v="3284 Martin Neck, Lopezville, NY 69154"/>
    <s v="OID8295"/>
    <x v="173"/>
    <s v="08:00:47"/>
    <x v="12"/>
    <n v="272.51"/>
    <n v="4"/>
    <x v="2"/>
    <n v="7"/>
    <n v="38"/>
    <d v="2024-07-09T00:00:00"/>
    <x v="200"/>
    <n v="1"/>
    <n v="1090.04"/>
    <n v="1128.04"/>
    <n v="0"/>
    <n v="0"/>
    <n v="1128.04"/>
    <s v="Christine Aguilar"/>
    <x v="0"/>
    <x v="9"/>
    <x v="0"/>
    <x v="2"/>
  </r>
  <r>
    <x v="28"/>
    <s v="Jenny"/>
    <s v="Estrada"/>
    <n v="45"/>
    <x v="0"/>
    <x v="1"/>
    <s v="jenny.estrada@yahoo.com"/>
    <s v="792 Carlos Islands, West David, CT 16522"/>
    <s v="OID4642"/>
    <x v="15"/>
    <s v="09:33:35"/>
    <x v="21"/>
    <n v="157.63999999999999"/>
    <n v="3"/>
    <x v="3"/>
    <n v="2"/>
    <n v="47"/>
    <d v="2023-06-08T00:00:00"/>
    <x v="201"/>
    <n v="6"/>
    <n v="472.91999999999996"/>
    <n v="519.91999999999996"/>
    <n v="0.2"/>
    <n v="103.98399999999999"/>
    <n v="415.93599999999998"/>
    <s v="Jenny Estrada"/>
    <x v="1"/>
    <x v="6"/>
    <x v="2"/>
    <x v="3"/>
  </r>
  <r>
    <x v="27"/>
    <s v="Valerie"/>
    <s v="Carr"/>
    <n v="26"/>
    <x v="2"/>
    <x v="6"/>
    <s v="valerie.carr@rediffmail.com"/>
    <s v="981 Emily Stream, South Brianna, CO 98063"/>
    <s v="OID7380"/>
    <x v="174"/>
    <s v="00:13:11"/>
    <x v="20"/>
    <n v="62.42"/>
    <n v="3"/>
    <x v="1"/>
    <n v="5"/>
    <n v="62"/>
    <d v="2023-05-12T00:00:00"/>
    <x v="202"/>
    <n v="5"/>
    <n v="187.26"/>
    <n v="249.26"/>
    <n v="0.15"/>
    <n v="37.388999999999996"/>
    <n v="211.87099999999998"/>
    <s v="Valerie Carr"/>
    <x v="2"/>
    <x v="2"/>
    <x v="2"/>
    <x v="1"/>
  </r>
  <r>
    <x v="50"/>
    <s v="Katherine"/>
    <s v="Weber"/>
    <n v="42"/>
    <x v="2"/>
    <x v="2"/>
    <s v="katherine.weber@outlook.com"/>
    <s v="04887 Kimberly Union Apt. 645, Port Laura, IL 97219"/>
    <s v="OID1086"/>
    <x v="69"/>
    <s v="20:01:38"/>
    <x v="5"/>
    <n v="363.64"/>
    <n v="3"/>
    <x v="0"/>
    <n v="5"/>
    <n v="53"/>
    <d v="2024-07-29T00:00:00"/>
    <x v="203"/>
    <n v="7"/>
    <n v="1090.92"/>
    <n v="1143.92"/>
    <n v="0.08"/>
    <n v="91.513600000000011"/>
    <n v="1052.4064000000001"/>
    <s v="Katherine Weber"/>
    <x v="1"/>
    <x v="9"/>
    <x v="0"/>
    <x v="0"/>
  </r>
  <r>
    <x v="53"/>
    <s v="Jodi"/>
    <s v="Whitney"/>
    <n v="33"/>
    <x v="2"/>
    <x v="6"/>
    <s v="jodi.whitney@yahoo.com"/>
    <s v="72876 Lara Key Suite 383, Gutierrezton, OR 71683"/>
    <s v="OID6936"/>
    <x v="22"/>
    <s v="06:33:55"/>
    <x v="38"/>
    <n v="477.52"/>
    <n v="4"/>
    <x v="3"/>
    <n v="5"/>
    <n v="55"/>
    <d v="2023-07-20T00:00:00"/>
    <x v="204"/>
    <n v="2"/>
    <n v="1910.08"/>
    <n v="1965.08"/>
    <n v="0.2"/>
    <n v="393.01600000000002"/>
    <n v="1572.0639999999999"/>
    <s v="Jodi Whitney"/>
    <x v="0"/>
    <x v="9"/>
    <x v="2"/>
    <x v="3"/>
  </r>
  <r>
    <x v="78"/>
    <s v="Mark"/>
    <s v="Summers"/>
    <n v="55"/>
    <x v="1"/>
    <x v="5"/>
    <s v="mark.summers@outlook.com"/>
    <s v="08413 Lynch Parkway, Calderonstad, NV 32697"/>
    <s v="OID2938"/>
    <x v="34"/>
    <s v="19:46:32"/>
    <x v="17"/>
    <n v="126.19"/>
    <n v="2"/>
    <x v="2"/>
    <n v="5"/>
    <n v="59"/>
    <d v="2023-09-05T00:00:00"/>
    <x v="205"/>
    <n v="6"/>
    <n v="252.38"/>
    <n v="311.38"/>
    <n v="0"/>
    <n v="0"/>
    <n v="311.38"/>
    <s v="Mark Summers"/>
    <x v="1"/>
    <x v="10"/>
    <x v="2"/>
    <x v="0"/>
  </r>
  <r>
    <x v="66"/>
    <s v="Melissa"/>
    <s v="Levy"/>
    <n v="30"/>
    <x v="0"/>
    <x v="5"/>
    <s v="melissa.levy@rediffmail.com"/>
    <s v="3303 Kennedy Springs Suite 830, East Amybury, MI 95595"/>
    <s v="OID8074"/>
    <x v="175"/>
    <s v="20:47:44"/>
    <x v="32"/>
    <n v="87.09"/>
    <n v="1"/>
    <x v="4"/>
    <n v="1"/>
    <n v="61"/>
    <d v="2024-01-30T00:00:00"/>
    <x v="206"/>
    <n v="1"/>
    <n v="87.09"/>
    <n v="148.09"/>
    <n v="0.1"/>
    <n v="14.809000000000001"/>
    <n v="133.28100000000001"/>
    <s v="Melissa Levy"/>
    <x v="2"/>
    <x v="5"/>
    <x v="0"/>
    <x v="1"/>
  </r>
  <r>
    <x v="36"/>
    <s v="Jason"/>
    <s v="Lopez"/>
    <n v="40"/>
    <x v="2"/>
    <x v="6"/>
    <s v="jason.lopez@outlook.com"/>
    <s v="934 Levine View, Brentport, NE 38210"/>
    <s v="OID1076"/>
    <x v="176"/>
    <s v="14:37:23"/>
    <x v="44"/>
    <n v="110.95"/>
    <n v="3"/>
    <x v="4"/>
    <n v="6"/>
    <n v="65"/>
    <d v="2023-06-02T00:00:00"/>
    <x v="207"/>
    <n v="5"/>
    <n v="332.85"/>
    <n v="397.85"/>
    <n v="0.1"/>
    <n v="39.785000000000004"/>
    <n v="358.065"/>
    <s v="Jason Lopez"/>
    <x v="0"/>
    <x v="2"/>
    <x v="2"/>
    <x v="0"/>
  </r>
  <r>
    <x v="58"/>
    <s v="Amy"/>
    <s v="Ellis"/>
    <n v="44"/>
    <x v="2"/>
    <x v="3"/>
    <s v="amy.ellis@gmail.com"/>
    <s v="217 Scott Ville, Christophermouth, NH 83776"/>
    <s v="OID8347"/>
    <x v="177"/>
    <s v="00:08:51"/>
    <x v="49"/>
    <n v="33.49"/>
    <n v="1"/>
    <x v="0"/>
    <n v="2"/>
    <n v="67"/>
    <d v="2023-12-26T00:00:00"/>
    <x v="208"/>
    <n v="1"/>
    <n v="33.49"/>
    <n v="100.49000000000001"/>
    <n v="0.08"/>
    <n v="8.039200000000001"/>
    <n v="92.450800000000015"/>
    <s v="Amy Ellis"/>
    <x v="0"/>
    <x v="7"/>
    <x v="2"/>
    <x v="2"/>
  </r>
  <r>
    <x v="39"/>
    <s v="Amanda"/>
    <s v="Howard"/>
    <n v="52"/>
    <x v="2"/>
    <x v="7"/>
    <s v="amanda.howard@outlook.com"/>
    <s v="56908 Sydney Park Suite 632, West Anthonyport, NC 15954"/>
    <s v="OID6373"/>
    <x v="178"/>
    <s v="09:31:27"/>
    <x v="36"/>
    <n v="425.59"/>
    <n v="3"/>
    <x v="0"/>
    <n v="7"/>
    <n v="68"/>
    <d v="2023-03-20T00:00:00"/>
    <x v="209"/>
    <n v="4"/>
    <n v="1276.77"/>
    <n v="1344.77"/>
    <n v="0.08"/>
    <n v="107.58159999999999"/>
    <n v="1237.1884"/>
    <s v="Amanda Howard"/>
    <x v="0"/>
    <x v="0"/>
    <x v="2"/>
    <x v="0"/>
  </r>
  <r>
    <x v="78"/>
    <s v="Mark"/>
    <s v="Summers"/>
    <n v="55"/>
    <x v="1"/>
    <x v="5"/>
    <s v="mark.summers@outlook.com"/>
    <s v="08413 Lynch Parkway, Calderonstad, NV 32697"/>
    <s v="OID5913"/>
    <x v="31"/>
    <s v="09:46:43"/>
    <x v="35"/>
    <n v="441.03"/>
    <n v="5"/>
    <x v="1"/>
    <n v="3"/>
    <n v="37"/>
    <d v="2023-04-28T00:00:00"/>
    <x v="210"/>
    <n v="5"/>
    <n v="2205.1499999999996"/>
    <n v="2242.1499999999996"/>
    <n v="0.15"/>
    <n v="336.32249999999993"/>
    <n v="1905.8274999999996"/>
    <s v="Mark Summers"/>
    <x v="1"/>
    <x v="3"/>
    <x v="2"/>
    <x v="0"/>
  </r>
  <r>
    <x v="51"/>
    <s v="Jason"/>
    <s v="Nguyen"/>
    <n v="51"/>
    <x v="2"/>
    <x v="4"/>
    <s v="jason.nguyen@yahoo.com"/>
    <s v="7112 Travis Glens Suite 790, Crystalland, WV 38373"/>
    <s v="OID2941"/>
    <x v="179"/>
    <s v="21:17:39"/>
    <x v="23"/>
    <n v="129.75"/>
    <n v="3"/>
    <x v="1"/>
    <n v="5"/>
    <n v="37"/>
    <d v="2024-02-19T00:00:00"/>
    <x v="211"/>
    <n v="2"/>
    <n v="389.25"/>
    <n v="426.25"/>
    <n v="0.15"/>
    <n v="63.9375"/>
    <n v="362.3125"/>
    <s v="Jason Nguyen"/>
    <x v="0"/>
    <x v="1"/>
    <x v="0"/>
    <x v="3"/>
  </r>
  <r>
    <x v="79"/>
    <s v="Gary"/>
    <s v="Huff"/>
    <n v="18"/>
    <x v="0"/>
    <x v="2"/>
    <s v="gary.huff@gmail.com"/>
    <s v="58608 Alexander Terrace, South Bryan, SC 85541"/>
    <s v="OID9627"/>
    <x v="180"/>
    <s v="12:28:28"/>
    <x v="42"/>
    <n v="235.63"/>
    <n v="1"/>
    <x v="0"/>
    <n v="6"/>
    <n v="58"/>
    <d v="2024-03-03T00:00:00"/>
    <x v="212"/>
    <n v="5"/>
    <n v="235.63"/>
    <n v="293.63"/>
    <n v="0.08"/>
    <n v="23.490400000000001"/>
    <n v="270.13959999999997"/>
    <s v="Gary Huff"/>
    <x v="0"/>
    <x v="1"/>
    <x v="0"/>
    <x v="2"/>
  </r>
  <r>
    <x v="14"/>
    <s v="Gina"/>
    <s v="Moreno"/>
    <n v="36"/>
    <x v="2"/>
    <x v="4"/>
    <s v="gina.moreno@rediffmail.com"/>
    <s v="USS Murray, FPO AP 66559"/>
    <s v="OID9705"/>
    <x v="181"/>
    <s v="03:29:39"/>
    <x v="34"/>
    <n v="136.30000000000001"/>
    <n v="2"/>
    <x v="3"/>
    <n v="7"/>
    <n v="51"/>
    <d v="2024-09-15T00:00:00"/>
    <x v="213"/>
    <n v="1"/>
    <n v="272.60000000000002"/>
    <n v="323.60000000000002"/>
    <n v="0.2"/>
    <n v="64.720000000000013"/>
    <n v="258.88"/>
    <s v="Gina Moreno"/>
    <x v="0"/>
    <x v="4"/>
    <x v="0"/>
    <x v="1"/>
  </r>
  <r>
    <x v="46"/>
    <s v="Brittany"/>
    <s v="Stewart"/>
    <n v="68"/>
    <x v="2"/>
    <x v="7"/>
    <s v="brittany.stewart@gmail.com"/>
    <s v="6250 David Loaf Suite 561, North Pamelaberg, WV 63652"/>
    <s v="OID7486"/>
    <x v="182"/>
    <s v="18:27:23"/>
    <x v="48"/>
    <n v="107.47"/>
    <n v="4"/>
    <x v="3"/>
    <n v="5"/>
    <n v="51"/>
    <d v="2023-07-08T00:00:00"/>
    <x v="214"/>
    <n v="3"/>
    <n v="429.88"/>
    <n v="480.88"/>
    <n v="0.2"/>
    <n v="96.176000000000002"/>
    <n v="384.70400000000001"/>
    <s v="Brittany Stewart"/>
    <x v="0"/>
    <x v="9"/>
    <x v="2"/>
    <x v="2"/>
  </r>
  <r>
    <x v="75"/>
    <s v="Rachael"/>
    <s v="Robinson"/>
    <n v="24"/>
    <x v="2"/>
    <x v="7"/>
    <s v="rachael.robinson@rediffmail.com"/>
    <s v="0889 Brady Points, Port Meganhaven, NM 26553"/>
    <s v="OID4560"/>
    <x v="183"/>
    <s v="14:41:09"/>
    <x v="6"/>
    <n v="275.44"/>
    <n v="2"/>
    <x v="0"/>
    <n v="2"/>
    <n v="36"/>
    <d v="2023-12-16T00:00:00"/>
    <x v="215"/>
    <n v="5"/>
    <n v="550.88"/>
    <n v="586.88"/>
    <n v="0.08"/>
    <n v="46.950400000000002"/>
    <n v="539.92959999999994"/>
    <s v="Rachael Robinson"/>
    <x v="1"/>
    <x v="7"/>
    <x v="2"/>
    <x v="1"/>
  </r>
  <r>
    <x v="69"/>
    <s v="Lindsey"/>
    <s v="Byrd"/>
    <n v="32"/>
    <x v="0"/>
    <x v="5"/>
    <s v="lindsey.byrd@rediffmail.com"/>
    <s v="USCGC Harper, FPO AA 38349"/>
    <s v="OID1379"/>
    <x v="10"/>
    <s v="11:50:19"/>
    <x v="48"/>
    <n v="107.47"/>
    <n v="2"/>
    <x v="1"/>
    <n v="5"/>
    <n v="55"/>
    <d v="2024-10-27T00:00:00"/>
    <x v="216"/>
    <n v="4"/>
    <n v="214.94"/>
    <n v="269.94"/>
    <n v="0.15"/>
    <n v="40.491"/>
    <n v="229.44900000000001"/>
    <s v="Lindsey Byrd"/>
    <x v="0"/>
    <x v="8"/>
    <x v="0"/>
    <x v="1"/>
  </r>
  <r>
    <x v="3"/>
    <s v="Angela"/>
    <s v="Horne"/>
    <n v="49"/>
    <x v="2"/>
    <x v="0"/>
    <s v="angela.horne@outlook.com"/>
    <s v="USNV Mueller, FPO AP 54648"/>
    <s v="OID8114"/>
    <x v="184"/>
    <s v="10:24:24"/>
    <x v="22"/>
    <n v="158.53"/>
    <n v="5"/>
    <x v="0"/>
    <n v="2"/>
    <n v="64"/>
    <d v="2024-10-17T00:00:00"/>
    <x v="217"/>
    <n v="4"/>
    <n v="792.65"/>
    <n v="856.65"/>
    <n v="0.08"/>
    <n v="68.531999999999996"/>
    <n v="788.11799999999994"/>
    <s v="Angela Horne"/>
    <x v="1"/>
    <x v="8"/>
    <x v="0"/>
    <x v="0"/>
  </r>
  <r>
    <x v="18"/>
    <s v="Christian"/>
    <s v="Clayton"/>
    <n v="39"/>
    <x v="1"/>
    <x v="5"/>
    <s v="christian.clayton@yahoo.com"/>
    <s v="065 Madison Way, Smithstad, CT 68011"/>
    <s v="OID9805"/>
    <x v="185"/>
    <s v="23:35:16"/>
    <x v="5"/>
    <n v="363.64"/>
    <n v="2"/>
    <x v="3"/>
    <n v="6"/>
    <n v="37"/>
    <d v="2024-09-09T00:00:00"/>
    <x v="218"/>
    <n v="3"/>
    <n v="727.28"/>
    <n v="764.28"/>
    <n v="0.2"/>
    <n v="152.85599999999999"/>
    <n v="611.42399999999998"/>
    <s v="Christian Clayton"/>
    <x v="0"/>
    <x v="4"/>
    <x v="0"/>
    <x v="3"/>
  </r>
  <r>
    <x v="30"/>
    <s v="Julie"/>
    <s v="Meyer"/>
    <n v="23"/>
    <x v="0"/>
    <x v="0"/>
    <s v="julie.meyer@yahoo.com"/>
    <s v="17381 Smith Ramp Suite 398, Courtneyville, AL 17756"/>
    <s v="OID7003"/>
    <x v="86"/>
    <s v="04:53:37"/>
    <x v="34"/>
    <n v="136.30000000000001"/>
    <n v="2"/>
    <x v="4"/>
    <n v="3"/>
    <n v="47"/>
    <d v="2024-08-07T00:00:00"/>
    <x v="219"/>
    <n v="7"/>
    <n v="272.60000000000002"/>
    <n v="319.60000000000002"/>
    <n v="0.1"/>
    <n v="31.960000000000004"/>
    <n v="287.64000000000004"/>
    <s v="Julie Meyer"/>
    <x v="1"/>
    <x v="9"/>
    <x v="0"/>
    <x v="3"/>
  </r>
  <r>
    <x v="78"/>
    <s v="Mark"/>
    <s v="Summers"/>
    <n v="55"/>
    <x v="1"/>
    <x v="5"/>
    <s v="mark.summers@outlook.com"/>
    <s v="08413 Lynch Parkway, Calderonstad, NV 32697"/>
    <s v="OID5372"/>
    <x v="186"/>
    <s v="21:25:23"/>
    <x v="30"/>
    <n v="369.03"/>
    <n v="3"/>
    <x v="3"/>
    <n v="2"/>
    <n v="65"/>
    <d v="2024-04-30T00:00:00"/>
    <x v="220"/>
    <n v="4"/>
    <n v="1107.0899999999999"/>
    <n v="1172.0899999999999"/>
    <n v="0.2"/>
    <n v="234.41800000000001"/>
    <n v="937.67199999999991"/>
    <s v="Mark Summers"/>
    <x v="1"/>
    <x v="3"/>
    <x v="0"/>
    <x v="0"/>
  </r>
  <r>
    <x v="23"/>
    <s v="Taylor"/>
    <s v="Davis"/>
    <n v="54"/>
    <x v="1"/>
    <x v="0"/>
    <s v="taylor.davis@yahoo.com"/>
    <s v="USCGC Simmons, FPO AA 60167"/>
    <s v="OID4097"/>
    <x v="187"/>
    <s v="18:03:08"/>
    <x v="45"/>
    <n v="381.73"/>
    <n v="2"/>
    <x v="1"/>
    <n v="3"/>
    <n v="70"/>
    <d v="2023-07-05T00:00:00"/>
    <x v="221"/>
    <n v="7"/>
    <n v="763.46"/>
    <n v="833.46"/>
    <n v="0.15"/>
    <n v="125.01900000000001"/>
    <n v="708.44100000000003"/>
    <s v="Taylor Davis"/>
    <x v="1"/>
    <x v="6"/>
    <x v="2"/>
    <x v="3"/>
  </r>
  <r>
    <x v="59"/>
    <s v="Beth"/>
    <s v="Mason"/>
    <n v="45"/>
    <x v="2"/>
    <x v="3"/>
    <s v="beth.mason@outlook.com"/>
    <s v="58998 Sherry Haven, East Richard, FL 90775"/>
    <s v="OID7090"/>
    <x v="131"/>
    <s v="02:55:39"/>
    <x v="33"/>
    <n v="421.7"/>
    <n v="3"/>
    <x v="4"/>
    <n v="6"/>
    <n v="38"/>
    <d v="2025-01-23T00:00:00"/>
    <x v="222"/>
    <n v="3"/>
    <n v="1265.0999999999999"/>
    <n v="1303.0999999999999"/>
    <n v="0.1"/>
    <n v="130.31"/>
    <n v="1172.79"/>
    <s v="Beth Mason"/>
    <x v="0"/>
    <x v="5"/>
    <x v="1"/>
    <x v="0"/>
  </r>
  <r>
    <x v="78"/>
    <s v="Mark"/>
    <s v="Summers"/>
    <n v="55"/>
    <x v="1"/>
    <x v="5"/>
    <s v="mark.summers@outlook.com"/>
    <s v="08413 Lynch Parkway, Calderonstad, NV 32697"/>
    <s v="OID8741"/>
    <x v="112"/>
    <s v="23:25:51"/>
    <x v="4"/>
    <n v="330.11"/>
    <n v="3"/>
    <x v="0"/>
    <n v="2"/>
    <n v="40"/>
    <d v="2023-09-22T00:00:00"/>
    <x v="223"/>
    <n v="5"/>
    <n v="990.33"/>
    <n v="1030.33"/>
    <n v="0.08"/>
    <n v="82.426400000000001"/>
    <n v="947.90359999999987"/>
    <s v="Mark Summers"/>
    <x v="1"/>
    <x v="4"/>
    <x v="2"/>
    <x v="0"/>
  </r>
  <r>
    <x v="27"/>
    <s v="Valerie"/>
    <s v="Carr"/>
    <n v="26"/>
    <x v="2"/>
    <x v="6"/>
    <s v="valerie.carr@rediffmail.com"/>
    <s v="981 Emily Stream, South Brianna, CO 98063"/>
    <s v="OID6002"/>
    <x v="127"/>
    <s v="05:28:12"/>
    <x v="26"/>
    <n v="372.62"/>
    <n v="1"/>
    <x v="4"/>
    <n v="4"/>
    <n v="36"/>
    <d v="2024-09-06T00:00:00"/>
    <x v="224"/>
    <n v="4"/>
    <n v="372.62"/>
    <n v="408.62"/>
    <n v="0.1"/>
    <n v="40.862000000000002"/>
    <n v="367.75799999999998"/>
    <s v="Valerie Carr"/>
    <x v="2"/>
    <x v="4"/>
    <x v="0"/>
    <x v="1"/>
  </r>
  <r>
    <x v="79"/>
    <s v="Gary"/>
    <s v="Huff"/>
    <n v="18"/>
    <x v="0"/>
    <x v="2"/>
    <s v="gary.huff@gmail.com"/>
    <s v="58608 Alexander Terrace, South Bryan, SC 85541"/>
    <s v="OID8585"/>
    <x v="188"/>
    <s v="16:44:13"/>
    <x v="24"/>
    <n v="481.48"/>
    <n v="3"/>
    <x v="4"/>
    <n v="2"/>
    <n v="42"/>
    <d v="2023-10-22T00:00:00"/>
    <x v="225"/>
    <n v="4"/>
    <n v="1444.44"/>
    <n v="1486.44"/>
    <n v="0.1"/>
    <n v="148.64400000000001"/>
    <n v="1337.796"/>
    <s v="Gary Huff"/>
    <x v="1"/>
    <x v="8"/>
    <x v="2"/>
    <x v="2"/>
  </r>
  <r>
    <x v="15"/>
    <s v="Mallory"/>
    <s v="Mitchell"/>
    <n v="42"/>
    <x v="1"/>
    <x v="6"/>
    <s v="mallory.mitchell@yahoo.com"/>
    <s v="710 Anthony Wall Suite 137, East Davidstad, NV 61494"/>
    <s v="OID6767"/>
    <x v="84"/>
    <s v="17:52:44"/>
    <x v="0"/>
    <n v="308.88"/>
    <n v="1"/>
    <x v="1"/>
    <n v="3"/>
    <n v="54"/>
    <d v="2024-09-21T00:00:00"/>
    <x v="226"/>
    <n v="1"/>
    <n v="308.88"/>
    <n v="362.88"/>
    <n v="0.15"/>
    <n v="54.431999999999995"/>
    <n v="308.44799999999998"/>
    <s v="Mallory Mitchell"/>
    <x v="0"/>
    <x v="4"/>
    <x v="0"/>
    <x v="3"/>
  </r>
  <r>
    <x v="0"/>
    <s v="Anne"/>
    <s v="Oconnell"/>
    <n v="37"/>
    <x v="0"/>
    <x v="0"/>
    <s v="anne.oconnell@outlook.com"/>
    <s v="2850 Matthew Ford, North Yolandachester, FL 67488"/>
    <s v="OID4369"/>
    <x v="189"/>
    <s v="22:31:31"/>
    <x v="16"/>
    <n v="132.97"/>
    <n v="4"/>
    <x v="4"/>
    <n v="3"/>
    <n v="43"/>
    <d v="2023-08-25T00:00:00"/>
    <x v="227"/>
    <n v="1"/>
    <n v="531.88"/>
    <n v="574.88"/>
    <n v="0.1"/>
    <n v="57.488"/>
    <n v="517.39200000000005"/>
    <s v="Anne Oconnell"/>
    <x v="0"/>
    <x v="10"/>
    <x v="2"/>
    <x v="0"/>
  </r>
  <r>
    <x v="20"/>
    <s v="John"/>
    <s v="Herrera"/>
    <n v="64"/>
    <x v="1"/>
    <x v="1"/>
    <s v="john.herrera@outlook.com"/>
    <s v="61263 Jacob Isle, Amandatown, TN 34321"/>
    <s v="OID5283"/>
    <x v="87"/>
    <s v="18:43:17"/>
    <x v="26"/>
    <n v="372.62"/>
    <n v="4"/>
    <x v="0"/>
    <n v="1"/>
    <n v="45"/>
    <d v="2024-07-19T00:00:00"/>
    <x v="228"/>
    <n v="4"/>
    <n v="1490.48"/>
    <n v="1535.48"/>
    <n v="0.08"/>
    <n v="122.83840000000001"/>
    <n v="1412.6415999999999"/>
    <s v="John Herrera"/>
    <x v="1"/>
    <x v="9"/>
    <x v="0"/>
    <x v="0"/>
  </r>
  <r>
    <x v="44"/>
    <s v="Lori"/>
    <s v="Cook"/>
    <n v="18"/>
    <x v="1"/>
    <x v="1"/>
    <s v="lori.cook@rediffmail.com"/>
    <s v="86837 Bell Meadows, North Jasonshire, UT 51354"/>
    <s v="OID2949"/>
    <x v="190"/>
    <s v="09:55:21"/>
    <x v="17"/>
    <n v="126.19"/>
    <n v="5"/>
    <x v="4"/>
    <n v="4"/>
    <n v="47"/>
    <d v="2023-12-20T00:00:00"/>
    <x v="229"/>
    <n v="7"/>
    <n v="630.95000000000005"/>
    <n v="677.95"/>
    <n v="0.1"/>
    <n v="67.795000000000002"/>
    <n v="610.15500000000009"/>
    <s v="Lori Cook"/>
    <x v="1"/>
    <x v="7"/>
    <x v="2"/>
    <x v="1"/>
  </r>
  <r>
    <x v="79"/>
    <s v="Gary"/>
    <s v="Huff"/>
    <n v="18"/>
    <x v="0"/>
    <x v="2"/>
    <s v="gary.huff@gmail.com"/>
    <s v="58608 Alexander Terrace, South Bryan, SC 85541"/>
    <s v="OID1071"/>
    <x v="191"/>
    <s v="06:47:14"/>
    <x v="39"/>
    <n v="403.03"/>
    <n v="2"/>
    <x v="1"/>
    <n v="7"/>
    <n v="45"/>
    <d v="2023-07-11T00:00:00"/>
    <x v="230"/>
    <n v="1"/>
    <n v="806.06"/>
    <n v="851.06"/>
    <n v="0.15"/>
    <n v="127.65899999999999"/>
    <n v="723.40099999999995"/>
    <s v="Gary Huff"/>
    <x v="0"/>
    <x v="9"/>
    <x v="2"/>
    <x v="2"/>
  </r>
  <r>
    <x v="79"/>
    <s v="Gary"/>
    <s v="Huff"/>
    <n v="18"/>
    <x v="0"/>
    <x v="2"/>
    <s v="gary.huff@gmail.com"/>
    <s v="58608 Alexander Terrace, South Bryan, SC 85541"/>
    <s v="OID7412"/>
    <x v="192"/>
    <s v="22:41:22"/>
    <x v="21"/>
    <n v="157.63999999999999"/>
    <n v="2"/>
    <x v="1"/>
    <n v="5"/>
    <n v="64"/>
    <d v="2024-04-13T00:00:00"/>
    <x v="231"/>
    <n v="3"/>
    <n v="315.27999999999997"/>
    <n v="379.28"/>
    <n v="0.15"/>
    <n v="56.891999999999996"/>
    <n v="322.38799999999998"/>
    <s v="Gary Huff"/>
    <x v="0"/>
    <x v="3"/>
    <x v="0"/>
    <x v="2"/>
  </r>
  <r>
    <x v="80"/>
    <s v="Mike"/>
    <s v="Carter"/>
    <n v="59"/>
    <x v="2"/>
    <x v="6"/>
    <s v="mike.carter@rediffmail.com"/>
    <s v="3971 Ortiz Fields, Lake Jackfort, IA 97132"/>
    <s v="OID6541"/>
    <x v="135"/>
    <s v="08:35:05"/>
    <x v="19"/>
    <n v="128.13999999999999"/>
    <n v="1"/>
    <x v="4"/>
    <n v="7"/>
    <n v="52"/>
    <d v="2023-11-24T00:00:00"/>
    <x v="232"/>
    <n v="3"/>
    <n v="128.13999999999999"/>
    <n v="180.14"/>
    <n v="0.1"/>
    <n v="18.013999999999999"/>
    <n v="162.12599999999998"/>
    <s v="Mike Carter"/>
    <x v="0"/>
    <x v="11"/>
    <x v="2"/>
    <x v="1"/>
  </r>
  <r>
    <x v="24"/>
    <s v="Lauren"/>
    <s v="Long"/>
    <n v="44"/>
    <x v="0"/>
    <x v="7"/>
    <s v="lauren.long@gmail.com"/>
    <s v="258 Michael Brooks Suite 363, Arnoldview, PA 49438"/>
    <s v="OID3550"/>
    <x v="193"/>
    <s v="06:30:57"/>
    <x v="8"/>
    <n v="257.06"/>
    <n v="3"/>
    <x v="2"/>
    <n v="5"/>
    <n v="63"/>
    <d v="2024-03-03T00:00:00"/>
    <x v="233"/>
    <n v="6"/>
    <n v="771.18000000000006"/>
    <n v="834.18000000000006"/>
    <n v="0"/>
    <n v="0"/>
    <n v="834.18000000000006"/>
    <s v="Lauren Long"/>
    <x v="1"/>
    <x v="1"/>
    <x v="0"/>
    <x v="2"/>
  </r>
  <r>
    <x v="53"/>
    <s v="Jodi"/>
    <s v="Whitney"/>
    <n v="33"/>
    <x v="2"/>
    <x v="6"/>
    <s v="jodi.whitney@yahoo.com"/>
    <s v="72876 Lara Key Suite 383, Gutierrezton, OR 71683"/>
    <s v="OID7812"/>
    <x v="194"/>
    <s v="09:01:24"/>
    <x v="12"/>
    <n v="272.51"/>
    <n v="2"/>
    <x v="4"/>
    <n v="4"/>
    <n v="48"/>
    <d v="2023-12-04T00:00:00"/>
    <x v="234"/>
    <n v="7"/>
    <n v="545.02"/>
    <n v="593.02"/>
    <n v="0.1"/>
    <n v="59.302"/>
    <n v="533.71799999999996"/>
    <s v="Jodi Whitney"/>
    <x v="1"/>
    <x v="11"/>
    <x v="2"/>
    <x v="3"/>
  </r>
  <r>
    <x v="24"/>
    <s v="Lauren"/>
    <s v="Long"/>
    <n v="44"/>
    <x v="0"/>
    <x v="7"/>
    <s v="lauren.long@gmail.com"/>
    <s v="258 Michael Brooks Suite 363, Arnoldview, PA 49438"/>
    <s v="OID4101"/>
    <x v="195"/>
    <s v="10:38:44"/>
    <x v="5"/>
    <n v="363.64"/>
    <n v="3"/>
    <x v="1"/>
    <n v="1"/>
    <n v="47"/>
    <d v="2024-04-13T00:00:00"/>
    <x v="235"/>
    <n v="5"/>
    <n v="1090.92"/>
    <n v="1137.92"/>
    <n v="0.15"/>
    <n v="170.68800000000002"/>
    <n v="967.23200000000008"/>
    <s v="Lauren Long"/>
    <x v="1"/>
    <x v="3"/>
    <x v="0"/>
    <x v="2"/>
  </r>
  <r>
    <x v="55"/>
    <s v="William"/>
    <s v="Mann"/>
    <n v="21"/>
    <x v="0"/>
    <x v="1"/>
    <s v="william.mann@yahoo.com"/>
    <s v="849 Tran Wells, New Lindsayville, WI 22669"/>
    <s v="OID2704"/>
    <x v="184"/>
    <s v="08:44:39"/>
    <x v="5"/>
    <n v="363.64"/>
    <n v="3"/>
    <x v="3"/>
    <n v="6"/>
    <n v="64"/>
    <d v="2024-10-20T00:00:00"/>
    <x v="236"/>
    <n v="7"/>
    <n v="1090.92"/>
    <n v="1154.92"/>
    <n v="0.2"/>
    <n v="230.98400000000004"/>
    <n v="923.93600000000004"/>
    <s v="William Mann"/>
    <x v="1"/>
    <x v="8"/>
    <x v="0"/>
    <x v="3"/>
  </r>
  <r>
    <x v="58"/>
    <s v="Amy"/>
    <s v="Ellis"/>
    <n v="44"/>
    <x v="2"/>
    <x v="3"/>
    <s v="amy.ellis@gmail.com"/>
    <s v="217 Scott Ville, Christophermouth, NH 83776"/>
    <s v="OID3902"/>
    <x v="196"/>
    <s v="10:10:51"/>
    <x v="42"/>
    <n v="235.63"/>
    <n v="5"/>
    <x v="3"/>
    <n v="6"/>
    <n v="63"/>
    <d v="2023-07-07T00:00:00"/>
    <x v="237"/>
    <n v="5"/>
    <n v="1178.1500000000001"/>
    <n v="1241.1500000000001"/>
    <n v="0.2"/>
    <n v="248.23000000000002"/>
    <n v="992.92000000000007"/>
    <s v="Amy Ellis"/>
    <x v="0"/>
    <x v="9"/>
    <x v="2"/>
    <x v="2"/>
  </r>
  <r>
    <x v="81"/>
    <s v="Thomas"/>
    <s v="Owens"/>
    <n v="34"/>
    <x v="2"/>
    <x v="7"/>
    <s v="thomas.owens@outlook.com"/>
    <s v="43920 Shaffer Valley Suite 531, South Jerry, MD 67120"/>
    <s v="OID6097"/>
    <x v="81"/>
    <s v="06:46:28"/>
    <x v="37"/>
    <n v="133.62"/>
    <n v="1"/>
    <x v="0"/>
    <n v="1"/>
    <n v="57"/>
    <d v="2024-11-06T00:00:00"/>
    <x v="238"/>
    <n v="7"/>
    <n v="133.62"/>
    <n v="190.62"/>
    <n v="0.08"/>
    <n v="15.249600000000001"/>
    <n v="175.37040000000002"/>
    <s v="Thomas Owens"/>
    <x v="1"/>
    <x v="8"/>
    <x v="0"/>
    <x v="0"/>
  </r>
  <r>
    <x v="26"/>
    <s v="Heather"/>
    <s v="Schneider"/>
    <n v="48"/>
    <x v="1"/>
    <x v="3"/>
    <s v="heather.schneider@outlook.com"/>
    <s v="57940 Susan Creek Apt. 541, Port Aliciamouth, OR 90221"/>
    <s v="OID2270"/>
    <x v="197"/>
    <s v="22:27:32"/>
    <x v="18"/>
    <n v="282.63"/>
    <n v="4"/>
    <x v="4"/>
    <n v="1"/>
    <n v="60"/>
    <d v="2024-11-22T00:00:00"/>
    <x v="239"/>
    <n v="2"/>
    <n v="1130.52"/>
    <n v="1190.52"/>
    <n v="0.1"/>
    <n v="119.05200000000001"/>
    <n v="1071.4680000000001"/>
    <s v="Heather Schneider"/>
    <x v="1"/>
    <x v="11"/>
    <x v="0"/>
    <x v="0"/>
  </r>
  <r>
    <x v="28"/>
    <s v="Jenny"/>
    <s v="Estrada"/>
    <n v="45"/>
    <x v="0"/>
    <x v="1"/>
    <s v="jenny.estrada@yahoo.com"/>
    <s v="792 Carlos Islands, West David, CT 16522"/>
    <s v="OID4575"/>
    <x v="183"/>
    <s v="18:42:20"/>
    <x v="1"/>
    <n v="166.28"/>
    <n v="3"/>
    <x v="4"/>
    <n v="6"/>
    <n v="59"/>
    <d v="2023-12-15T00:00:00"/>
    <x v="240"/>
    <n v="4"/>
    <n v="498.84000000000003"/>
    <n v="557.84"/>
    <n v="0.1"/>
    <n v="55.784000000000006"/>
    <n v="502.05600000000004"/>
    <s v="Jenny Estrada"/>
    <x v="0"/>
    <x v="7"/>
    <x v="2"/>
    <x v="3"/>
  </r>
  <r>
    <x v="69"/>
    <s v="Lindsey"/>
    <s v="Byrd"/>
    <n v="32"/>
    <x v="0"/>
    <x v="5"/>
    <s v="lindsey.byrd@rediffmail.com"/>
    <s v="USCGC Harper, FPO AA 38349"/>
    <s v="OID2338"/>
    <x v="191"/>
    <s v="22:07:35"/>
    <x v="36"/>
    <n v="425.59"/>
    <n v="5"/>
    <x v="0"/>
    <n v="7"/>
    <n v="57"/>
    <d v="2023-07-17T00:00:00"/>
    <x v="241"/>
    <n v="7"/>
    <n v="2127.9499999999998"/>
    <n v="2184.9499999999998"/>
    <n v="0.08"/>
    <n v="174.79599999999999"/>
    <n v="2010.1539999999998"/>
    <s v="Lindsey Byrd"/>
    <x v="2"/>
    <x v="9"/>
    <x v="2"/>
    <x v="1"/>
  </r>
  <r>
    <x v="46"/>
    <s v="Brittany"/>
    <s v="Stewart"/>
    <n v="68"/>
    <x v="2"/>
    <x v="7"/>
    <s v="brittany.stewart@gmail.com"/>
    <s v="6250 David Loaf Suite 561, North Pamelaberg, WV 63652"/>
    <s v="OID9816"/>
    <x v="198"/>
    <s v="07:28:42"/>
    <x v="5"/>
    <n v="363.64"/>
    <n v="5"/>
    <x v="4"/>
    <n v="7"/>
    <n v="60"/>
    <d v="2024-05-07T00:00:00"/>
    <x v="242"/>
    <n v="2"/>
    <n v="1818.1999999999998"/>
    <n v="1878.1999999999998"/>
    <n v="0.1"/>
    <n v="187.82"/>
    <n v="1690.3799999999999"/>
    <s v="Brittany Stewart"/>
    <x v="0"/>
    <x v="2"/>
    <x v="0"/>
    <x v="2"/>
  </r>
  <r>
    <x v="82"/>
    <s v="Brendan"/>
    <s v="Kelly"/>
    <n v="50"/>
    <x v="2"/>
    <x v="6"/>
    <s v="brendan.kelly@rediffmail.com"/>
    <s v="688 Donald Oval Suite 089, Shepardport, CA 50844"/>
    <s v="OID1586"/>
    <x v="199"/>
    <s v="14:01:51"/>
    <x v="39"/>
    <n v="403.03"/>
    <n v="5"/>
    <x v="3"/>
    <n v="2"/>
    <n v="52"/>
    <d v="2024-07-02T00:00:00"/>
    <x v="243"/>
    <n v="5"/>
    <n v="2015.1499999999999"/>
    <n v="2067.1499999999996"/>
    <n v="0.2"/>
    <n v="413.42999999999995"/>
    <n v="1653.7199999999998"/>
    <s v="Brendan Kelly"/>
    <x v="1"/>
    <x v="6"/>
    <x v="0"/>
    <x v="1"/>
  </r>
  <r>
    <x v="50"/>
    <s v="Katherine"/>
    <s v="Weber"/>
    <n v="42"/>
    <x v="2"/>
    <x v="2"/>
    <s v="katherine.weber@outlook.com"/>
    <s v="04887 Kimberly Union Apt. 645, Port Laura, IL 97219"/>
    <s v="OID9630"/>
    <x v="200"/>
    <s v="20:50:23"/>
    <x v="30"/>
    <n v="369.03"/>
    <n v="1"/>
    <x v="3"/>
    <n v="6"/>
    <n v="38"/>
    <d v="2023-02-17T00:00:00"/>
    <x v="244"/>
    <n v="6"/>
    <n v="369.03"/>
    <n v="407.03"/>
    <n v="0.2"/>
    <n v="81.406000000000006"/>
    <n v="325.62399999999997"/>
    <s v="Katherine Weber"/>
    <x v="2"/>
    <x v="1"/>
    <x v="2"/>
    <x v="0"/>
  </r>
  <r>
    <x v="83"/>
    <s v="Jessica"/>
    <s v="Ruiz"/>
    <n v="19"/>
    <x v="1"/>
    <x v="2"/>
    <s v="jessica.ruiz@rediffmail.com"/>
    <s v="02370 Laura Station Suite 309, Brandonville, DE 18875"/>
    <s v="OID8034"/>
    <x v="201"/>
    <s v="08:30:48"/>
    <x v="33"/>
    <n v="421.7"/>
    <n v="5"/>
    <x v="4"/>
    <n v="6"/>
    <n v="61"/>
    <d v="2024-06-14T00:00:00"/>
    <x v="245"/>
    <n v="4"/>
    <n v="2108.5"/>
    <n v="2169.5"/>
    <n v="0.1"/>
    <n v="216.95000000000002"/>
    <n v="1952.55"/>
    <s v="Jessica Ruiz"/>
    <x v="0"/>
    <x v="6"/>
    <x v="0"/>
    <x v="1"/>
  </r>
  <r>
    <x v="78"/>
    <s v="Mark"/>
    <s v="Summers"/>
    <n v="55"/>
    <x v="1"/>
    <x v="5"/>
    <s v="mark.summers@outlook.com"/>
    <s v="08413 Lynch Parkway, Calderonstad, NV 32697"/>
    <s v="OID4815"/>
    <x v="202"/>
    <s v="05:34:02"/>
    <x v="45"/>
    <n v="381.73"/>
    <n v="4"/>
    <x v="0"/>
    <n v="2"/>
    <n v="58"/>
    <d v="2024-11-17T00:00:00"/>
    <x v="246"/>
    <n v="5"/>
    <n v="1526.92"/>
    <n v="1584.92"/>
    <n v="0.08"/>
    <n v="126.79360000000001"/>
    <n v="1458.1264000000001"/>
    <s v="Mark Summers"/>
    <x v="1"/>
    <x v="11"/>
    <x v="0"/>
    <x v="0"/>
  </r>
  <r>
    <x v="65"/>
    <s v="Lisa"/>
    <s v="Miller"/>
    <n v="70"/>
    <x v="1"/>
    <x v="3"/>
    <s v="lisa.miller@gmail.com"/>
    <s v="89748 Campbell Drive, South Tannerland, WI 13143"/>
    <s v="OID1898"/>
    <x v="203"/>
    <s v="22:30:30"/>
    <x v="9"/>
    <n v="175.93"/>
    <n v="2"/>
    <x v="4"/>
    <n v="7"/>
    <n v="61"/>
    <d v="2024-04-09T00:00:00"/>
    <x v="247"/>
    <n v="5"/>
    <n v="351.86"/>
    <n v="412.86"/>
    <n v="0.1"/>
    <n v="41.286000000000001"/>
    <n v="371.57400000000001"/>
    <s v="Lisa Miller"/>
    <x v="0"/>
    <x v="3"/>
    <x v="0"/>
    <x v="2"/>
  </r>
  <r>
    <x v="38"/>
    <s v="John"/>
    <s v="Ramirez"/>
    <n v="28"/>
    <x v="2"/>
    <x v="4"/>
    <s v="john.ramirez@outlook.com"/>
    <s v="02797 Martin Landing, South Michelle, VT 98781"/>
    <s v="OID7454"/>
    <x v="65"/>
    <s v="06:13:30"/>
    <x v="45"/>
    <n v="381.73"/>
    <n v="2"/>
    <x v="1"/>
    <n v="2"/>
    <n v="68"/>
    <d v="2024-02-07T00:00:00"/>
    <x v="248"/>
    <n v="7"/>
    <n v="763.46"/>
    <n v="831.46"/>
    <n v="0.15"/>
    <n v="124.71899999999999"/>
    <n v="706.74099999999999"/>
    <s v="John Ramirez"/>
    <x v="1"/>
    <x v="5"/>
    <x v="0"/>
    <x v="0"/>
  </r>
  <r>
    <x v="84"/>
    <s v="Hannah"/>
    <s v="Gutierrez"/>
    <n v="55"/>
    <x v="1"/>
    <x v="5"/>
    <s v="hannah.gutierrez@yahoo.com"/>
    <s v="2420 David Manors, Jessicaland, CT 41698"/>
    <s v="OID2597"/>
    <x v="199"/>
    <s v="14:11:09"/>
    <x v="35"/>
    <n v="441.03"/>
    <n v="3"/>
    <x v="2"/>
    <n v="4"/>
    <n v="47"/>
    <d v="2024-06-30T00:00:00"/>
    <x v="249"/>
    <n v="3"/>
    <n v="1323.09"/>
    <n v="1370.09"/>
    <n v="0"/>
    <n v="0"/>
    <n v="1370.09"/>
    <s v="Hannah Gutierrez"/>
    <x v="0"/>
    <x v="6"/>
    <x v="0"/>
    <x v="3"/>
  </r>
  <r>
    <x v="85"/>
    <s v="Angela"/>
    <s v="Casey"/>
    <n v="40"/>
    <x v="0"/>
    <x v="2"/>
    <s v="angela.casey@gmail.com"/>
    <s v="089 Farley Terrace, Thomashaven, MT 56607"/>
    <s v="OID6600"/>
    <x v="204"/>
    <s v="22:46:20"/>
    <x v="34"/>
    <n v="136.30000000000001"/>
    <n v="2"/>
    <x v="0"/>
    <n v="6"/>
    <n v="58"/>
    <d v="2024-08-29T00:00:00"/>
    <x v="250"/>
    <n v="2"/>
    <n v="272.60000000000002"/>
    <n v="330.6"/>
    <n v="0.08"/>
    <n v="26.448000000000004"/>
    <n v="304.15200000000004"/>
    <s v="Angela Casey"/>
    <x v="0"/>
    <x v="10"/>
    <x v="0"/>
    <x v="2"/>
  </r>
  <r>
    <x v="53"/>
    <s v="Jodi"/>
    <s v="Whitney"/>
    <n v="33"/>
    <x v="2"/>
    <x v="6"/>
    <s v="jodi.whitney@yahoo.com"/>
    <s v="72876 Lara Key Suite 383, Gutierrezton, OR 71683"/>
    <s v="OID3490"/>
    <x v="205"/>
    <s v="03:47:08"/>
    <x v="39"/>
    <n v="403.03"/>
    <n v="3"/>
    <x v="1"/>
    <n v="5"/>
    <n v="44"/>
    <d v="2024-04-02T00:00:00"/>
    <x v="251"/>
    <n v="1"/>
    <n v="1209.0899999999999"/>
    <n v="1253.0899999999999"/>
    <n v="0.15"/>
    <n v="187.96349999999998"/>
    <n v="1065.1264999999999"/>
    <s v="Jodi Whitney"/>
    <x v="0"/>
    <x v="3"/>
    <x v="0"/>
    <x v="3"/>
  </r>
  <r>
    <x v="76"/>
    <s v="Natasha"/>
    <s v="Michael"/>
    <n v="49"/>
    <x v="0"/>
    <x v="1"/>
    <s v="natasha.michael@gmail.com"/>
    <s v="78992 Justin Estates Suite 226, Floresberg, NM 40797"/>
    <s v="OID5561"/>
    <x v="206"/>
    <s v="07:21:30"/>
    <x v="45"/>
    <n v="381.73"/>
    <n v="5"/>
    <x v="0"/>
    <n v="7"/>
    <n v="45"/>
    <d v="2023-11-06T00:00:00"/>
    <x v="252"/>
    <n v="3"/>
    <n v="1908.65"/>
    <n v="1953.65"/>
    <n v="0.08"/>
    <n v="156.292"/>
    <n v="1797.3580000000002"/>
    <s v="Natasha Michael"/>
    <x v="0"/>
    <x v="11"/>
    <x v="2"/>
    <x v="2"/>
  </r>
  <r>
    <x v="75"/>
    <s v="Rachael"/>
    <s v="Robinson"/>
    <n v="24"/>
    <x v="2"/>
    <x v="7"/>
    <s v="rachael.robinson@rediffmail.com"/>
    <s v="0889 Brady Points, Port Meganhaven, NM 26553"/>
    <s v="OID8830"/>
    <x v="207"/>
    <s v="16:49:20"/>
    <x v="45"/>
    <n v="381.73"/>
    <n v="1"/>
    <x v="0"/>
    <n v="3"/>
    <n v="36"/>
    <d v="2025-01-18T00:00:00"/>
    <x v="253"/>
    <n v="7"/>
    <n v="381.73"/>
    <n v="417.73"/>
    <n v="0.08"/>
    <n v="33.418400000000005"/>
    <n v="384.3116"/>
    <s v="Rachael Robinson"/>
    <x v="1"/>
    <x v="5"/>
    <x v="1"/>
    <x v="1"/>
  </r>
  <r>
    <x v="43"/>
    <s v="Rebecca"/>
    <s v="Figueroa"/>
    <n v="63"/>
    <x v="0"/>
    <x v="4"/>
    <s v="rebecca.figueroa@outlook.com"/>
    <s v="3959 Bell Dale, North Jacob, LA 07934"/>
    <s v="OID9527"/>
    <x v="160"/>
    <s v="16:59:25"/>
    <x v="36"/>
    <n v="425.59"/>
    <n v="1"/>
    <x v="3"/>
    <n v="7"/>
    <n v="40"/>
    <d v="2024-06-17T00:00:00"/>
    <x v="254"/>
    <n v="3"/>
    <n v="425.59"/>
    <n v="465.59"/>
    <n v="0.2"/>
    <n v="93.117999999999995"/>
    <n v="372.47199999999998"/>
    <s v="Rebecca Figueroa"/>
    <x v="0"/>
    <x v="6"/>
    <x v="0"/>
    <x v="0"/>
  </r>
  <r>
    <x v="24"/>
    <s v="Lauren"/>
    <s v="Long"/>
    <n v="44"/>
    <x v="0"/>
    <x v="7"/>
    <s v="lauren.long@gmail.com"/>
    <s v="258 Michael Brooks Suite 363, Arnoldview, PA 49438"/>
    <s v="OID1067"/>
    <x v="208"/>
    <s v="06:15:44"/>
    <x v="24"/>
    <n v="481.48"/>
    <n v="4"/>
    <x v="1"/>
    <n v="4"/>
    <n v="67"/>
    <d v="2025-01-08T00:00:00"/>
    <x v="255"/>
    <n v="6"/>
    <n v="1925.92"/>
    <n v="1992.92"/>
    <n v="0.15"/>
    <n v="298.93799999999999"/>
    <n v="1693.982"/>
    <s v="Lauren Long"/>
    <x v="1"/>
    <x v="5"/>
    <x v="1"/>
    <x v="2"/>
  </r>
  <r>
    <x v="12"/>
    <s v="Joshua"/>
    <s v="Campbell"/>
    <n v="24"/>
    <x v="0"/>
    <x v="5"/>
    <s v="joshua.campbell@gmail.com"/>
    <s v="70426 Lindsey Overpass Apt. 030, Jessicafurt, AR 46269"/>
    <s v="OID2119"/>
    <x v="209"/>
    <s v="17:29:54"/>
    <x v="33"/>
    <n v="421.7"/>
    <n v="2"/>
    <x v="4"/>
    <n v="2"/>
    <n v="54"/>
    <d v="2024-08-10T00:00:00"/>
    <x v="256"/>
    <n v="2"/>
    <n v="843.4"/>
    <n v="897.4"/>
    <n v="0.1"/>
    <n v="89.740000000000009"/>
    <n v="807.66"/>
    <s v="Joshua Campbell"/>
    <x v="2"/>
    <x v="10"/>
    <x v="0"/>
    <x v="2"/>
  </r>
  <r>
    <x v="27"/>
    <s v="Valerie"/>
    <s v="Carr"/>
    <n v="26"/>
    <x v="2"/>
    <x v="6"/>
    <s v="valerie.carr@rediffmail.com"/>
    <s v="981 Emily Stream, South Brianna, CO 98063"/>
    <s v="OID5802"/>
    <x v="210"/>
    <s v="05:25:01"/>
    <x v="44"/>
    <n v="110.95"/>
    <n v="3"/>
    <x v="2"/>
    <n v="5"/>
    <n v="47"/>
    <d v="2024-04-17T00:00:00"/>
    <x v="257"/>
    <n v="6"/>
    <n v="332.85"/>
    <n v="379.85"/>
    <n v="0"/>
    <n v="0"/>
    <n v="379.85"/>
    <s v="Valerie Carr"/>
    <x v="1"/>
    <x v="3"/>
    <x v="0"/>
    <x v="1"/>
  </r>
  <r>
    <x v="49"/>
    <s v="Sarah"/>
    <s v="Butler"/>
    <n v="64"/>
    <x v="0"/>
    <x v="0"/>
    <s v="sarah.butler@rediffmail.com"/>
    <s v="14131 Edwin Shore Apt. 190, Deniseberg, MD 90905"/>
    <s v="OID4569"/>
    <x v="211"/>
    <s v="00:49:15"/>
    <x v="18"/>
    <n v="282.63"/>
    <n v="4"/>
    <x v="4"/>
    <n v="3"/>
    <n v="52"/>
    <d v="2023-09-22T00:00:00"/>
    <x v="258"/>
    <n v="3"/>
    <n v="1130.52"/>
    <n v="1182.52"/>
    <n v="0.1"/>
    <n v="118.25200000000001"/>
    <n v="1064.268"/>
    <s v="Sarah Butler"/>
    <x v="2"/>
    <x v="4"/>
    <x v="2"/>
    <x v="1"/>
  </r>
  <r>
    <x v="73"/>
    <s v="Susan"/>
    <s v="Thompson"/>
    <n v="37"/>
    <x v="2"/>
    <x v="7"/>
    <s v="susan.thompson@outlook.com"/>
    <s v="47821 William Station, East Ashleymouth, FL 20562"/>
    <s v="OID1508"/>
    <x v="111"/>
    <s v="10:13:34"/>
    <x v="22"/>
    <n v="158.53"/>
    <n v="3"/>
    <x v="4"/>
    <n v="3"/>
    <n v="63"/>
    <d v="2024-02-14T00:00:00"/>
    <x v="259"/>
    <n v="1"/>
    <n v="475.59000000000003"/>
    <n v="538.59"/>
    <n v="0.1"/>
    <n v="53.859000000000009"/>
    <n v="484.73099999999999"/>
    <s v="Susan Thompson"/>
    <x v="0"/>
    <x v="1"/>
    <x v="0"/>
    <x v="0"/>
  </r>
  <r>
    <x v="78"/>
    <s v="Mark"/>
    <s v="Summers"/>
    <n v="55"/>
    <x v="1"/>
    <x v="5"/>
    <s v="mark.summers@outlook.com"/>
    <s v="08413 Lynch Parkway, Calderonstad, NV 32697"/>
    <s v="OID3969"/>
    <x v="212"/>
    <s v="22:48:36"/>
    <x v="20"/>
    <n v="62.42"/>
    <n v="3"/>
    <x v="0"/>
    <n v="3"/>
    <n v="37"/>
    <d v="2023-04-15T00:00:00"/>
    <x v="260"/>
    <n v="5"/>
    <n v="187.26"/>
    <n v="224.26"/>
    <n v="0.08"/>
    <n v="17.940799999999999"/>
    <n v="206.3192"/>
    <s v="Mark Summers"/>
    <x v="1"/>
    <x v="3"/>
    <x v="2"/>
    <x v="0"/>
  </r>
  <r>
    <x v="27"/>
    <s v="Valerie"/>
    <s v="Carr"/>
    <n v="26"/>
    <x v="2"/>
    <x v="6"/>
    <s v="valerie.carr@rediffmail.com"/>
    <s v="981 Emily Stream, South Brianna, CO 98063"/>
    <s v="OID8974"/>
    <x v="213"/>
    <s v="03:37:20"/>
    <x v="42"/>
    <n v="235.63"/>
    <n v="2"/>
    <x v="1"/>
    <n v="4"/>
    <n v="44"/>
    <d v="2024-06-15T00:00:00"/>
    <x v="261"/>
    <n v="4"/>
    <n v="471.26"/>
    <n v="515.26"/>
    <n v="0.15"/>
    <n v="77.289000000000001"/>
    <n v="437.971"/>
    <s v="Valerie Carr"/>
    <x v="2"/>
    <x v="6"/>
    <x v="0"/>
    <x v="1"/>
  </r>
  <r>
    <x v="24"/>
    <s v="Lauren"/>
    <s v="Long"/>
    <n v="44"/>
    <x v="0"/>
    <x v="7"/>
    <s v="lauren.long@gmail.com"/>
    <s v="258 Michael Brooks Suite 363, Arnoldview, PA 49438"/>
    <s v="OID6987"/>
    <x v="214"/>
    <s v="23:47:53"/>
    <x v="21"/>
    <n v="157.63999999999999"/>
    <n v="2"/>
    <x v="0"/>
    <n v="1"/>
    <n v="56"/>
    <d v="2024-09-17T00:00:00"/>
    <x v="262"/>
    <n v="5"/>
    <n v="315.27999999999997"/>
    <n v="371.28"/>
    <n v="0.08"/>
    <n v="29.702399999999997"/>
    <n v="341.57759999999996"/>
    <s v="Lauren Long"/>
    <x v="1"/>
    <x v="4"/>
    <x v="0"/>
    <x v="2"/>
  </r>
  <r>
    <x v="22"/>
    <s v="Ashley"/>
    <s v="Rose"/>
    <n v="60"/>
    <x v="2"/>
    <x v="0"/>
    <s v="ashley.rose@gmail.com"/>
    <s v="424 Nichols Curve Suite 177, Lake Brianview, TX 17289"/>
    <s v="OID5834"/>
    <x v="215"/>
    <s v="15:54:45"/>
    <x v="26"/>
    <n v="372.62"/>
    <n v="4"/>
    <x v="1"/>
    <n v="2"/>
    <n v="42"/>
    <d v="2023-03-16T00:00:00"/>
    <x v="263"/>
    <n v="5"/>
    <n v="1490.48"/>
    <n v="1532.48"/>
    <n v="0.15"/>
    <n v="229.87199999999999"/>
    <n v="1302.6079999999999"/>
    <s v="Ashley Rose"/>
    <x v="1"/>
    <x v="0"/>
    <x v="2"/>
    <x v="2"/>
  </r>
  <r>
    <x v="82"/>
    <s v="Brendan"/>
    <s v="Kelly"/>
    <n v="50"/>
    <x v="2"/>
    <x v="6"/>
    <s v="brendan.kelly@rediffmail.com"/>
    <s v="688 Donald Oval Suite 089, Shepardport, CA 50844"/>
    <s v="OID3980"/>
    <x v="216"/>
    <s v="21:10:06"/>
    <x v="39"/>
    <n v="403.03"/>
    <n v="2"/>
    <x v="3"/>
    <n v="3"/>
    <n v="61"/>
    <d v="2025-01-20T00:00:00"/>
    <x v="264"/>
    <n v="5"/>
    <n v="806.06"/>
    <n v="867.06"/>
    <n v="0.2"/>
    <n v="173.41200000000001"/>
    <n v="693.64799999999991"/>
    <s v="Brendan Kelly"/>
    <x v="1"/>
    <x v="5"/>
    <x v="1"/>
    <x v="1"/>
  </r>
  <r>
    <x v="18"/>
    <s v="Christian"/>
    <s v="Clayton"/>
    <n v="39"/>
    <x v="1"/>
    <x v="5"/>
    <s v="christian.clayton@yahoo.com"/>
    <s v="065 Madison Way, Smithstad, CT 68011"/>
    <s v="OID9700"/>
    <x v="217"/>
    <s v="17:39:16"/>
    <x v="14"/>
    <n v="20.7"/>
    <n v="3"/>
    <x v="2"/>
    <n v="1"/>
    <n v="67"/>
    <d v="2024-03-21T00:00:00"/>
    <x v="265"/>
    <n v="6"/>
    <n v="62.099999999999994"/>
    <n v="129.1"/>
    <n v="0"/>
    <n v="0"/>
    <n v="129.1"/>
    <s v="Christian Clayton"/>
    <x v="1"/>
    <x v="0"/>
    <x v="0"/>
    <x v="3"/>
  </r>
  <r>
    <x v="15"/>
    <s v="Mallory"/>
    <s v="Mitchell"/>
    <n v="42"/>
    <x v="1"/>
    <x v="6"/>
    <s v="mallory.mitchell@yahoo.com"/>
    <s v="710 Anthony Wall Suite 137, East Davidstad, NV 61494"/>
    <s v="OID1135"/>
    <x v="185"/>
    <s v="21:59:14"/>
    <x v="34"/>
    <n v="136.30000000000001"/>
    <n v="2"/>
    <x v="3"/>
    <n v="2"/>
    <n v="45"/>
    <d v="2024-09-11T00:00:00"/>
    <x v="266"/>
    <n v="5"/>
    <n v="272.60000000000002"/>
    <n v="317.60000000000002"/>
    <n v="0.2"/>
    <n v="63.52000000000001"/>
    <n v="254.08"/>
    <s v="Mallory Mitchell"/>
    <x v="1"/>
    <x v="4"/>
    <x v="0"/>
    <x v="3"/>
  </r>
  <r>
    <x v="63"/>
    <s v="Gregory"/>
    <s v="Lee"/>
    <n v="26"/>
    <x v="2"/>
    <x v="2"/>
    <s v="gregory.lee@rediffmail.com"/>
    <s v="619 Parker Turnpike Apt. 025, West Brucehaven, ID 48437"/>
    <s v="OID9451"/>
    <x v="30"/>
    <s v="21:47:08"/>
    <x v="44"/>
    <n v="110.95"/>
    <n v="2"/>
    <x v="3"/>
    <n v="3"/>
    <n v="36"/>
    <d v="2024-04-12T00:00:00"/>
    <x v="267"/>
    <n v="5"/>
    <n v="221.9"/>
    <n v="257.89999999999998"/>
    <n v="0.2"/>
    <n v="51.58"/>
    <n v="206.32"/>
    <s v="Gregory Lee"/>
    <x v="1"/>
    <x v="3"/>
    <x v="0"/>
    <x v="1"/>
  </r>
  <r>
    <x v="20"/>
    <s v="John"/>
    <s v="Herrera"/>
    <n v="64"/>
    <x v="1"/>
    <x v="1"/>
    <s v="john.herrera@outlook.com"/>
    <s v="61263 Jacob Isle, Amandatown, TN 34321"/>
    <s v="OID4659"/>
    <x v="218"/>
    <s v="00:57:26"/>
    <x v="26"/>
    <n v="372.62"/>
    <n v="3"/>
    <x v="2"/>
    <n v="5"/>
    <n v="54"/>
    <d v="2024-03-01T00:00:00"/>
    <x v="268"/>
    <n v="1"/>
    <n v="1117.8600000000001"/>
    <n v="1171.8600000000001"/>
    <n v="0"/>
    <n v="0"/>
    <n v="1171.8600000000001"/>
    <s v="John Herrera"/>
    <x v="0"/>
    <x v="1"/>
    <x v="0"/>
    <x v="0"/>
  </r>
  <r>
    <x v="86"/>
    <s v="Megan"/>
    <s v="Hunt"/>
    <n v="63"/>
    <x v="0"/>
    <x v="6"/>
    <s v="megan.hunt@rediffmail.com"/>
    <s v="03765 Velazquez Knoll Suite 478, Richardshire, UT 17200"/>
    <s v="OID7205"/>
    <x v="219"/>
    <s v="21:16:04"/>
    <x v="21"/>
    <n v="157.63999999999999"/>
    <n v="2"/>
    <x v="0"/>
    <n v="4"/>
    <n v="61"/>
    <d v="2023-06-13T00:00:00"/>
    <x v="269"/>
    <n v="7"/>
    <n v="315.27999999999997"/>
    <n v="376.28"/>
    <n v="0.08"/>
    <n v="30.102399999999999"/>
    <n v="346.17759999999998"/>
    <s v="Megan Hunt"/>
    <x v="1"/>
    <x v="6"/>
    <x v="2"/>
    <x v="1"/>
  </r>
  <r>
    <x v="83"/>
    <s v="Jessica"/>
    <s v="Ruiz"/>
    <n v="19"/>
    <x v="1"/>
    <x v="2"/>
    <s v="jessica.ruiz@rediffmail.com"/>
    <s v="02370 Laura Station Suite 309, Brandonville, DE 18875"/>
    <s v="OID9735"/>
    <x v="12"/>
    <s v="20:03:28"/>
    <x v="10"/>
    <n v="190.1"/>
    <n v="3"/>
    <x v="0"/>
    <n v="4"/>
    <n v="63"/>
    <d v="2023-03-17T00:00:00"/>
    <x v="270"/>
    <n v="5"/>
    <n v="570.29999999999995"/>
    <n v="633.29999999999995"/>
    <n v="0.08"/>
    <n v="50.663999999999994"/>
    <n v="582.63599999999997"/>
    <s v="Jessica Ruiz"/>
    <x v="1"/>
    <x v="0"/>
    <x v="2"/>
    <x v="1"/>
  </r>
  <r>
    <x v="87"/>
    <s v="Jared"/>
    <s v="Horn"/>
    <n v="43"/>
    <x v="0"/>
    <x v="4"/>
    <s v="jared.horn@outlook.com"/>
    <s v="43325 Barbara Tunnel, Port James, LA 16246"/>
    <s v="OID3358"/>
    <x v="220"/>
    <s v="15:38:50"/>
    <x v="48"/>
    <n v="107.47"/>
    <n v="1"/>
    <x v="0"/>
    <n v="4"/>
    <n v="36"/>
    <d v="2024-05-18T00:00:00"/>
    <x v="271"/>
    <n v="2"/>
    <n v="107.47"/>
    <n v="143.47"/>
    <n v="0.08"/>
    <n v="11.477600000000001"/>
    <n v="131.9924"/>
    <s v="Jared Horn"/>
    <x v="0"/>
    <x v="2"/>
    <x v="0"/>
    <x v="0"/>
  </r>
  <r>
    <x v="35"/>
    <s v="Aaron"/>
    <s v="Thompson"/>
    <n v="47"/>
    <x v="1"/>
    <x v="3"/>
    <s v="aaron.thompson@gmail.com"/>
    <s v="PSC 0550, Box 2737, APO AE 75772"/>
    <s v="OID4719"/>
    <x v="221"/>
    <s v="03:13:28"/>
    <x v="9"/>
    <n v="175.93"/>
    <n v="3"/>
    <x v="2"/>
    <n v="3"/>
    <n v="58"/>
    <d v="2023-04-01T00:00:00"/>
    <x v="272"/>
    <n v="5"/>
    <n v="527.79"/>
    <n v="585.79"/>
    <n v="0"/>
    <n v="0"/>
    <n v="585.79"/>
    <s v="Aaron Thompson"/>
    <x v="1"/>
    <x v="0"/>
    <x v="2"/>
    <x v="2"/>
  </r>
  <r>
    <x v="82"/>
    <s v="Brendan"/>
    <s v="Kelly"/>
    <n v="50"/>
    <x v="2"/>
    <x v="6"/>
    <s v="brendan.kelly@rediffmail.com"/>
    <s v="688 Donald Oval Suite 089, Shepardport, CA 50844"/>
    <s v="OID8203"/>
    <x v="173"/>
    <s v="12:54:20"/>
    <x v="43"/>
    <n v="424.82"/>
    <n v="3"/>
    <x v="2"/>
    <n v="3"/>
    <n v="42"/>
    <d v="2024-07-09T00:00:00"/>
    <x v="273"/>
    <n v="1"/>
    <n v="1274.46"/>
    <n v="1316.46"/>
    <n v="0"/>
    <n v="0"/>
    <n v="1316.46"/>
    <s v="Brendan Kelly"/>
    <x v="0"/>
    <x v="9"/>
    <x v="0"/>
    <x v="1"/>
  </r>
  <r>
    <x v="88"/>
    <s v="Veronica"/>
    <s v="Lopez"/>
    <n v="18"/>
    <x v="1"/>
    <x v="7"/>
    <s v="veronica.lopez@gmail.com"/>
    <s v="660 Karen Station Apt. 887, Allenside, ID 03170"/>
    <s v="OID2353"/>
    <x v="222"/>
    <s v="15:59:36"/>
    <x v="24"/>
    <n v="481.48"/>
    <n v="4"/>
    <x v="2"/>
    <n v="2"/>
    <n v="61"/>
    <d v="2024-02-16T00:00:00"/>
    <x v="274"/>
    <n v="6"/>
    <n v="1925.92"/>
    <n v="1986.92"/>
    <n v="0"/>
    <n v="0"/>
    <n v="1986.92"/>
    <s v="Veronica Lopez"/>
    <x v="1"/>
    <x v="1"/>
    <x v="0"/>
    <x v="2"/>
  </r>
  <r>
    <x v="82"/>
    <s v="Brendan"/>
    <s v="Kelly"/>
    <n v="50"/>
    <x v="2"/>
    <x v="6"/>
    <s v="brendan.kelly@rediffmail.com"/>
    <s v="688 Donald Oval Suite 089, Shepardport, CA 50844"/>
    <s v="OID5255"/>
    <x v="52"/>
    <s v="19:52:34"/>
    <x v="13"/>
    <n v="104.18"/>
    <n v="1"/>
    <x v="0"/>
    <n v="1"/>
    <n v="48"/>
    <d v="2024-11-07T00:00:00"/>
    <x v="275"/>
    <n v="4"/>
    <n v="104.18"/>
    <n v="152.18"/>
    <n v="0.08"/>
    <n v="12.1744"/>
    <n v="140.00560000000002"/>
    <s v="Brendan Kelly"/>
    <x v="1"/>
    <x v="11"/>
    <x v="0"/>
    <x v="1"/>
  </r>
  <r>
    <x v="89"/>
    <s v="Sarah"/>
    <s v="Benson"/>
    <n v="40"/>
    <x v="2"/>
    <x v="7"/>
    <s v="sarah.benson@outlook.com"/>
    <s v="5399 Hayes Well, West Pennystad, IL 93798"/>
    <s v="OID7946"/>
    <x v="223"/>
    <s v="20:27:13"/>
    <x v="36"/>
    <n v="425.59"/>
    <n v="2"/>
    <x v="0"/>
    <n v="3"/>
    <n v="47"/>
    <d v="2024-05-11T00:00:00"/>
    <x v="276"/>
    <n v="1"/>
    <n v="851.18"/>
    <n v="898.18"/>
    <n v="0.08"/>
    <n v="71.854399999999998"/>
    <n v="826.32559999999989"/>
    <s v="Sarah Benson"/>
    <x v="0"/>
    <x v="2"/>
    <x v="0"/>
    <x v="0"/>
  </r>
  <r>
    <x v="83"/>
    <s v="Jessica"/>
    <s v="Ruiz"/>
    <n v="19"/>
    <x v="1"/>
    <x v="2"/>
    <s v="jessica.ruiz@rediffmail.com"/>
    <s v="02370 Laura Station Suite 309, Brandonville, DE 18875"/>
    <s v="OID1159"/>
    <x v="224"/>
    <s v="04:24:31"/>
    <x v="15"/>
    <n v="461.07"/>
    <n v="4"/>
    <x v="2"/>
    <n v="6"/>
    <n v="46"/>
    <d v="2023-04-06T00:00:00"/>
    <x v="277"/>
    <n v="5"/>
    <n v="1844.28"/>
    <n v="1890.28"/>
    <n v="0"/>
    <n v="0"/>
    <n v="1890.28"/>
    <s v="Jessica Ruiz"/>
    <x v="0"/>
    <x v="3"/>
    <x v="2"/>
    <x v="1"/>
  </r>
  <r>
    <x v="11"/>
    <s v="Amy"/>
    <s v="Reid"/>
    <n v="44"/>
    <x v="1"/>
    <x v="3"/>
    <s v="amy.reid@rediffmail.com"/>
    <s v="6262 Simpson Village, North Danielle, RI 76074"/>
    <s v="OID5186"/>
    <x v="223"/>
    <s v="05:26:44"/>
    <x v="20"/>
    <n v="62.42"/>
    <n v="4"/>
    <x v="1"/>
    <n v="1"/>
    <n v="67"/>
    <d v="2024-05-14T00:00:00"/>
    <x v="278"/>
    <n v="4"/>
    <n v="249.68"/>
    <n v="316.68"/>
    <n v="0.15"/>
    <n v="47.502000000000002"/>
    <n v="269.178"/>
    <s v="Amy Reid"/>
    <x v="1"/>
    <x v="2"/>
    <x v="0"/>
    <x v="1"/>
  </r>
  <r>
    <x v="1"/>
    <s v="Anthony"/>
    <s v="Thomas"/>
    <n v="53"/>
    <x v="1"/>
    <x v="1"/>
    <s v="anthony.thomas@rediffmail.com"/>
    <s v="931 Christopher Ways Suite 833, North Michelle, IN 53484"/>
    <s v="OID7156"/>
    <x v="112"/>
    <s v="13:33:00"/>
    <x v="8"/>
    <n v="257.06"/>
    <n v="1"/>
    <x v="3"/>
    <n v="5"/>
    <n v="64"/>
    <d v="2023-09-19T00:00:00"/>
    <x v="279"/>
    <n v="2"/>
    <n v="257.06"/>
    <n v="321.06"/>
    <n v="0.2"/>
    <n v="64.212000000000003"/>
    <n v="256.84800000000001"/>
    <s v="Anthony Thomas"/>
    <x v="0"/>
    <x v="4"/>
    <x v="2"/>
    <x v="1"/>
  </r>
  <r>
    <x v="53"/>
    <s v="Jodi"/>
    <s v="Whitney"/>
    <n v="33"/>
    <x v="2"/>
    <x v="6"/>
    <s v="jodi.whitney@yahoo.com"/>
    <s v="72876 Lara Key Suite 383, Gutierrezton, OR 71683"/>
    <s v="OID3574"/>
    <x v="131"/>
    <s v="22:42:24"/>
    <x v="12"/>
    <n v="272.51"/>
    <n v="4"/>
    <x v="3"/>
    <n v="6"/>
    <n v="39"/>
    <d v="2025-01-22T00:00:00"/>
    <x v="280"/>
    <n v="2"/>
    <n v="1090.04"/>
    <n v="1129.04"/>
    <n v="0.2"/>
    <n v="225.80799999999999"/>
    <n v="903.23199999999997"/>
    <s v="Jodi Whitney"/>
    <x v="0"/>
    <x v="5"/>
    <x v="1"/>
    <x v="3"/>
  </r>
  <r>
    <x v="21"/>
    <s v="Angela"/>
    <s v="Evans"/>
    <n v="52"/>
    <x v="2"/>
    <x v="1"/>
    <s v="angela.evans@outlook.com"/>
    <s v="16031 David Mountain Suite 431, Susanborough, PA 01910"/>
    <s v="OID1477"/>
    <x v="36"/>
    <s v="07:28:15"/>
    <x v="39"/>
    <n v="403.03"/>
    <n v="2"/>
    <x v="0"/>
    <n v="4"/>
    <n v="70"/>
    <d v="2023-11-16T00:00:00"/>
    <x v="281"/>
    <n v="4"/>
    <n v="806.06"/>
    <n v="876.06"/>
    <n v="0.08"/>
    <n v="70.084800000000001"/>
    <n v="805.97519999999997"/>
    <s v="Angela Evans"/>
    <x v="2"/>
    <x v="11"/>
    <x v="2"/>
    <x v="0"/>
  </r>
  <r>
    <x v="83"/>
    <s v="Jessica"/>
    <s v="Ruiz"/>
    <n v="19"/>
    <x v="1"/>
    <x v="2"/>
    <s v="jessica.ruiz@rediffmail.com"/>
    <s v="02370 Laura Station Suite 309, Brandonville, DE 18875"/>
    <s v="OID2944"/>
    <x v="225"/>
    <s v="05:37:56"/>
    <x v="15"/>
    <n v="461.07"/>
    <n v="3"/>
    <x v="4"/>
    <n v="1"/>
    <n v="61"/>
    <d v="2023-10-03T00:00:00"/>
    <x v="282"/>
    <n v="1"/>
    <n v="1383.21"/>
    <n v="1444.21"/>
    <n v="0.1"/>
    <n v="144.42100000000002"/>
    <n v="1299.789"/>
    <s v="Jessica Ruiz"/>
    <x v="2"/>
    <x v="8"/>
    <x v="2"/>
    <x v="1"/>
  </r>
  <r>
    <x v="82"/>
    <s v="Brendan"/>
    <s v="Kelly"/>
    <n v="50"/>
    <x v="2"/>
    <x v="6"/>
    <s v="brendan.kelly@rediffmail.com"/>
    <s v="688 Donald Oval Suite 089, Shepardport, CA 50844"/>
    <s v="OID5130"/>
    <x v="226"/>
    <s v="20:10:43"/>
    <x v="35"/>
    <n v="441.03"/>
    <n v="3"/>
    <x v="3"/>
    <n v="4"/>
    <n v="40"/>
    <d v="2024-08-24T00:00:00"/>
    <x v="283"/>
    <n v="6"/>
    <n v="1323.09"/>
    <n v="1363.09"/>
    <n v="0.2"/>
    <n v="272.61799999999999"/>
    <n v="1090.472"/>
    <s v="Brendan Kelly"/>
    <x v="1"/>
    <x v="10"/>
    <x v="0"/>
    <x v="1"/>
  </r>
  <r>
    <x v="10"/>
    <s v="Kara"/>
    <s v="Brennan"/>
    <n v="25"/>
    <x v="2"/>
    <x v="4"/>
    <s v="kara.brennan@outlook.com"/>
    <s v="2174 Thomas Avenue, Maciasborough, NJ 41465"/>
    <s v="OID7754"/>
    <x v="227"/>
    <s v="12:34:36"/>
    <x v="9"/>
    <n v="175.93"/>
    <n v="4"/>
    <x v="3"/>
    <n v="6"/>
    <n v="45"/>
    <d v="2023-06-20T00:00:00"/>
    <x v="284"/>
    <n v="7"/>
    <n v="703.72"/>
    <n v="748.72"/>
    <n v="0.2"/>
    <n v="149.744"/>
    <n v="598.976"/>
    <s v="Kara Brennan"/>
    <x v="1"/>
    <x v="6"/>
    <x v="2"/>
    <x v="0"/>
  </r>
  <r>
    <x v="83"/>
    <s v="Jessica"/>
    <s v="Ruiz"/>
    <n v="19"/>
    <x v="1"/>
    <x v="2"/>
    <s v="jessica.ruiz@rediffmail.com"/>
    <s v="02370 Laura Station Suite 309, Brandonville, DE 18875"/>
    <s v="OID1246"/>
    <x v="228"/>
    <s v="05:06:18"/>
    <x v="30"/>
    <n v="369.03"/>
    <n v="3"/>
    <x v="0"/>
    <n v="6"/>
    <n v="50"/>
    <d v="2023-05-06T00:00:00"/>
    <x v="285"/>
    <n v="3"/>
    <n v="1107.0899999999999"/>
    <n v="1157.0899999999999"/>
    <n v="0.08"/>
    <n v="92.5672"/>
    <n v="1064.5228"/>
    <s v="Jessica Ruiz"/>
    <x v="0"/>
    <x v="2"/>
    <x v="2"/>
    <x v="1"/>
  </r>
  <r>
    <x v="64"/>
    <s v="Bruce"/>
    <s v="Allen"/>
    <n v="32"/>
    <x v="1"/>
    <x v="0"/>
    <s v="bruce.allen@rediffmail.com"/>
    <s v="2417 Brown Ford, West Timothyside, RI 45629"/>
    <s v="OID8680"/>
    <x v="229"/>
    <s v="14:47:52"/>
    <x v="24"/>
    <n v="481.48"/>
    <n v="2"/>
    <x v="3"/>
    <n v="3"/>
    <n v="58"/>
    <d v="2025-01-26T00:00:00"/>
    <x v="286"/>
    <n v="7"/>
    <n v="962.96"/>
    <n v="1020.96"/>
    <n v="0.2"/>
    <n v="204.19200000000001"/>
    <n v="816.76800000000003"/>
    <s v="Bruce Allen"/>
    <x v="1"/>
    <x v="5"/>
    <x v="1"/>
    <x v="1"/>
  </r>
  <r>
    <x v="76"/>
    <s v="Natasha"/>
    <s v="Michael"/>
    <n v="49"/>
    <x v="0"/>
    <x v="1"/>
    <s v="natasha.michael@gmail.com"/>
    <s v="78992 Justin Estates Suite 226, Floresberg, NM 40797"/>
    <s v="OID7102"/>
    <x v="230"/>
    <s v="20:27:42"/>
    <x v="36"/>
    <n v="425.59"/>
    <n v="3"/>
    <x v="0"/>
    <n v="6"/>
    <n v="55"/>
    <d v="2023-06-22T00:00:00"/>
    <x v="287"/>
    <n v="7"/>
    <n v="1276.77"/>
    <n v="1331.77"/>
    <n v="0.08"/>
    <n v="106.5416"/>
    <n v="1225.2284"/>
    <s v="Natasha Michael"/>
    <x v="1"/>
    <x v="6"/>
    <x v="2"/>
    <x v="2"/>
  </r>
  <r>
    <x v="30"/>
    <s v="Julie"/>
    <s v="Meyer"/>
    <n v="23"/>
    <x v="0"/>
    <x v="0"/>
    <s v="julie.meyer@yahoo.com"/>
    <s v="17381 Smith Ramp Suite 398, Courtneyville, AL 17756"/>
    <s v="OID7555"/>
    <x v="208"/>
    <s v="13:24:08"/>
    <x v="49"/>
    <n v="33.49"/>
    <n v="2"/>
    <x v="0"/>
    <n v="2"/>
    <n v="45"/>
    <d v="2025-01-03T00:00:00"/>
    <x v="288"/>
    <n v="1"/>
    <n v="66.98"/>
    <n v="111.98"/>
    <n v="0.08"/>
    <n v="8.958400000000001"/>
    <n v="103.02160000000001"/>
    <s v="Julie Meyer"/>
    <x v="0"/>
    <x v="5"/>
    <x v="1"/>
    <x v="3"/>
  </r>
  <r>
    <x v="47"/>
    <s v="Mitchell"/>
    <s v="Parker"/>
    <n v="39"/>
    <x v="2"/>
    <x v="1"/>
    <s v="mitchell.parker@yahoo.com"/>
    <s v="PSC 3316, Box 9303, APO AE 29513"/>
    <s v="OID3165"/>
    <x v="231"/>
    <s v="09:58:35"/>
    <x v="3"/>
    <n v="405"/>
    <n v="4"/>
    <x v="4"/>
    <n v="7"/>
    <n v="70"/>
    <d v="2023-04-13T00:00:00"/>
    <x v="289"/>
    <n v="5"/>
    <n v="1620"/>
    <n v="1690"/>
    <n v="0.1"/>
    <n v="169"/>
    <n v="1521"/>
    <s v="Mitchell Parker"/>
    <x v="0"/>
    <x v="3"/>
    <x v="2"/>
    <x v="3"/>
  </r>
  <r>
    <x v="37"/>
    <s v="Alexandra"/>
    <s v="Smith"/>
    <n v="70"/>
    <x v="0"/>
    <x v="0"/>
    <s v="alexandra.smith@rediffmail.com"/>
    <s v="48611 Clark Village, West Anne, GA 92865"/>
    <s v="OID9628"/>
    <x v="164"/>
    <s v="06:20:30"/>
    <x v="24"/>
    <n v="481.48"/>
    <n v="3"/>
    <x v="3"/>
    <n v="5"/>
    <n v="49"/>
    <d v="2024-06-19T00:00:00"/>
    <x v="290"/>
    <n v="7"/>
    <n v="1444.44"/>
    <n v="1493.44"/>
    <n v="0.2"/>
    <n v="298.68800000000005"/>
    <n v="1194.752"/>
    <s v="Alexandra Smith"/>
    <x v="1"/>
    <x v="6"/>
    <x v="0"/>
    <x v="1"/>
  </r>
  <r>
    <x v="36"/>
    <s v="Jason"/>
    <s v="Lopez"/>
    <n v="40"/>
    <x v="2"/>
    <x v="6"/>
    <s v="jason.lopez@outlook.com"/>
    <s v="934 Levine View, Brentport, NE 38210"/>
    <s v="OID9782"/>
    <x v="232"/>
    <s v="17:53:01"/>
    <x v="37"/>
    <n v="133.62"/>
    <n v="2"/>
    <x v="4"/>
    <n v="4"/>
    <n v="36"/>
    <d v="2023-05-13T00:00:00"/>
    <x v="291"/>
    <n v="1"/>
    <n v="267.24"/>
    <n v="303.24"/>
    <n v="0.1"/>
    <n v="30.324000000000002"/>
    <n v="272.916"/>
    <s v="Jason Lopez"/>
    <x v="0"/>
    <x v="2"/>
    <x v="2"/>
    <x v="0"/>
  </r>
  <r>
    <x v="78"/>
    <s v="Mark"/>
    <s v="Summers"/>
    <n v="55"/>
    <x v="1"/>
    <x v="5"/>
    <s v="mark.summers@outlook.com"/>
    <s v="08413 Lynch Parkway, Calderonstad, NV 32697"/>
    <s v="OID7302"/>
    <x v="233"/>
    <s v="03:43:05"/>
    <x v="20"/>
    <n v="62.42"/>
    <n v="4"/>
    <x v="4"/>
    <n v="6"/>
    <n v="43"/>
    <d v="2024-05-08T00:00:00"/>
    <x v="292"/>
    <n v="6"/>
    <n v="249.68"/>
    <n v="292.68"/>
    <n v="0.1"/>
    <n v="29.268000000000001"/>
    <n v="263.41200000000003"/>
    <s v="Mark Summers"/>
    <x v="2"/>
    <x v="2"/>
    <x v="0"/>
    <x v="0"/>
  </r>
  <r>
    <x v="80"/>
    <s v="Mike"/>
    <s v="Carter"/>
    <n v="59"/>
    <x v="2"/>
    <x v="6"/>
    <s v="mike.carter@rediffmail.com"/>
    <s v="3971 Ortiz Fields, Lake Jackfort, IA 97132"/>
    <s v="OID4580"/>
    <x v="234"/>
    <s v="02:56:56"/>
    <x v="27"/>
    <n v="496.59"/>
    <n v="2"/>
    <x v="0"/>
    <n v="3"/>
    <n v="55"/>
    <d v="2024-08-24T00:00:00"/>
    <x v="293"/>
    <n v="1"/>
    <n v="993.18"/>
    <n v="1048.1799999999998"/>
    <n v="0.08"/>
    <n v="83.854399999999984"/>
    <n v="964.32559999999989"/>
    <s v="Mike Carter"/>
    <x v="0"/>
    <x v="10"/>
    <x v="0"/>
    <x v="1"/>
  </r>
  <r>
    <x v="50"/>
    <s v="Katherine"/>
    <s v="Weber"/>
    <n v="42"/>
    <x v="2"/>
    <x v="2"/>
    <s v="katherine.weber@outlook.com"/>
    <s v="04887 Kimberly Union Apt. 645, Port Laura, IL 97219"/>
    <s v="OID7954"/>
    <x v="206"/>
    <s v="04:29:06"/>
    <x v="28"/>
    <n v="431.44"/>
    <n v="4"/>
    <x v="2"/>
    <n v="3"/>
    <n v="65"/>
    <d v="2023-11-09T00:00:00"/>
    <x v="294"/>
    <n v="6"/>
    <n v="1725.76"/>
    <n v="1790.76"/>
    <n v="0"/>
    <n v="0"/>
    <n v="1790.76"/>
    <s v="Katherine Weber"/>
    <x v="1"/>
    <x v="11"/>
    <x v="2"/>
    <x v="0"/>
  </r>
  <r>
    <x v="35"/>
    <s v="Aaron"/>
    <s v="Thompson"/>
    <n v="47"/>
    <x v="1"/>
    <x v="3"/>
    <s v="aaron.thompson@gmail.com"/>
    <s v="PSC 0550, Box 2737, APO AE 75772"/>
    <s v="OID6246"/>
    <x v="149"/>
    <s v="10:04:49"/>
    <x v="43"/>
    <n v="424.82"/>
    <n v="2"/>
    <x v="2"/>
    <n v="2"/>
    <n v="57"/>
    <d v="2024-08-16T00:00:00"/>
    <x v="295"/>
    <n v="7"/>
    <n v="849.64"/>
    <n v="906.64"/>
    <n v="0"/>
    <n v="0"/>
    <n v="906.64"/>
    <s v="Aaron Thompson"/>
    <x v="1"/>
    <x v="10"/>
    <x v="0"/>
    <x v="2"/>
  </r>
  <r>
    <x v="78"/>
    <s v="Mark"/>
    <s v="Summers"/>
    <n v="55"/>
    <x v="1"/>
    <x v="5"/>
    <s v="mark.summers@outlook.com"/>
    <s v="08413 Lynch Parkway, Calderonstad, NV 32697"/>
    <s v="OID5671"/>
    <x v="68"/>
    <s v="23:44:50"/>
    <x v="33"/>
    <n v="421.7"/>
    <n v="3"/>
    <x v="0"/>
    <n v="5"/>
    <n v="54"/>
    <d v="2024-10-06T00:00:00"/>
    <x v="296"/>
    <n v="4"/>
    <n v="1265.0999999999999"/>
    <n v="1319.1"/>
    <n v="0.08"/>
    <n v="105.52799999999999"/>
    <n v="1213.5719999999999"/>
    <s v="Mark Summers"/>
    <x v="0"/>
    <x v="8"/>
    <x v="0"/>
    <x v="0"/>
  </r>
  <r>
    <x v="84"/>
    <s v="Hannah"/>
    <s v="Gutierrez"/>
    <n v="55"/>
    <x v="1"/>
    <x v="5"/>
    <s v="hannah.gutierrez@yahoo.com"/>
    <s v="2420 David Manors, Jessicaland, CT 41698"/>
    <s v="OID3145"/>
    <x v="235"/>
    <s v="17:40:16"/>
    <x v="26"/>
    <n v="372.62"/>
    <n v="1"/>
    <x v="4"/>
    <n v="5"/>
    <n v="45"/>
    <d v="2023-08-26T00:00:00"/>
    <x v="297"/>
    <n v="7"/>
    <n v="372.62"/>
    <n v="417.62"/>
    <n v="0.1"/>
    <n v="41.762"/>
    <n v="375.858"/>
    <s v="Hannah Gutierrez"/>
    <x v="1"/>
    <x v="10"/>
    <x v="2"/>
    <x v="3"/>
  </r>
  <r>
    <x v="82"/>
    <s v="Brendan"/>
    <s v="Kelly"/>
    <n v="50"/>
    <x v="2"/>
    <x v="6"/>
    <s v="brendan.kelly@rediffmail.com"/>
    <s v="688 Donald Oval Suite 089, Shepardport, CA 50844"/>
    <s v="OID8575"/>
    <x v="40"/>
    <s v="09:51:24"/>
    <x v="13"/>
    <n v="104.18"/>
    <n v="1"/>
    <x v="0"/>
    <n v="3"/>
    <n v="60"/>
    <d v="2024-09-28T00:00:00"/>
    <x v="298"/>
    <n v="6"/>
    <n v="104.18"/>
    <n v="164.18"/>
    <n v="0.08"/>
    <n v="13.134400000000001"/>
    <n v="151.04560000000001"/>
    <s v="Brendan Kelly"/>
    <x v="1"/>
    <x v="4"/>
    <x v="0"/>
    <x v="1"/>
  </r>
  <r>
    <x v="72"/>
    <s v="Leslie"/>
    <s v="Montgomery"/>
    <n v="26"/>
    <x v="1"/>
    <x v="5"/>
    <s v="leslie.montgomery@gmail.com"/>
    <s v="135 Teresa Oval Apt. 825, East Katherineport, WY 13714"/>
    <s v="OID7910"/>
    <x v="236"/>
    <s v="05:56:42"/>
    <x v="9"/>
    <n v="175.93"/>
    <n v="2"/>
    <x v="0"/>
    <n v="5"/>
    <n v="49"/>
    <d v="2023-06-29T00:00:00"/>
    <x v="299"/>
    <n v="2"/>
    <n v="351.86"/>
    <n v="400.86"/>
    <n v="0.08"/>
    <n v="32.068800000000003"/>
    <n v="368.7912"/>
    <s v="Leslie Montgomery"/>
    <x v="0"/>
    <x v="6"/>
    <x v="2"/>
    <x v="2"/>
  </r>
  <r>
    <x v="79"/>
    <s v="Gary"/>
    <s v="Huff"/>
    <n v="18"/>
    <x v="0"/>
    <x v="2"/>
    <s v="gary.huff@gmail.com"/>
    <s v="58608 Alexander Terrace, South Bryan, SC 85541"/>
    <s v="OID1179"/>
    <x v="237"/>
    <s v="06:33:59"/>
    <x v="20"/>
    <n v="62.42"/>
    <n v="1"/>
    <x v="0"/>
    <n v="3"/>
    <n v="46"/>
    <d v="2024-09-30T00:00:00"/>
    <x v="300"/>
    <n v="2"/>
    <n v="62.42"/>
    <n v="108.42"/>
    <n v="0.08"/>
    <n v="8.6736000000000004"/>
    <n v="99.746399999999994"/>
    <s v="Gary Huff"/>
    <x v="0"/>
    <x v="4"/>
    <x v="0"/>
    <x v="2"/>
  </r>
  <r>
    <x v="39"/>
    <s v="Amanda"/>
    <s v="Howard"/>
    <n v="52"/>
    <x v="2"/>
    <x v="7"/>
    <s v="amanda.howard@outlook.com"/>
    <s v="56908 Sydney Park Suite 632, West Anthonyport, NC 15954"/>
    <s v="OID1041"/>
    <x v="238"/>
    <s v="01:23:40"/>
    <x v="14"/>
    <n v="20.7"/>
    <n v="2"/>
    <x v="0"/>
    <n v="7"/>
    <n v="39"/>
    <d v="2023-12-26T00:00:00"/>
    <x v="301"/>
    <n v="7"/>
    <n v="41.4"/>
    <n v="80.400000000000006"/>
    <n v="0.08"/>
    <n v="6.4320000000000004"/>
    <n v="73.968000000000004"/>
    <s v="Amanda Howard"/>
    <x v="2"/>
    <x v="7"/>
    <x v="2"/>
    <x v="0"/>
  </r>
  <r>
    <x v="12"/>
    <s v="Joshua"/>
    <s v="Campbell"/>
    <n v="24"/>
    <x v="0"/>
    <x v="5"/>
    <s v="joshua.campbell@gmail.com"/>
    <s v="70426 Lindsey Overpass Apt. 030, Jessicafurt, AR 46269"/>
    <s v="OID1693"/>
    <x v="239"/>
    <s v="18:29:39"/>
    <x v="10"/>
    <n v="190.1"/>
    <n v="1"/>
    <x v="3"/>
    <n v="3"/>
    <n v="63"/>
    <d v="2023-10-08T00:00:00"/>
    <x v="302"/>
    <n v="1"/>
    <n v="190.1"/>
    <n v="253.1"/>
    <n v="0.2"/>
    <n v="50.620000000000005"/>
    <n v="202.48"/>
    <s v="Joshua Campbell"/>
    <x v="0"/>
    <x v="8"/>
    <x v="2"/>
    <x v="2"/>
  </r>
  <r>
    <x v="81"/>
    <s v="Thomas"/>
    <s v="Owens"/>
    <n v="34"/>
    <x v="2"/>
    <x v="7"/>
    <s v="thomas.owens@outlook.com"/>
    <s v="43920 Shaffer Valley Suite 531, South Jerry, MD 67120"/>
    <s v="OID8609"/>
    <x v="240"/>
    <s v="13:33:06"/>
    <x v="22"/>
    <n v="158.53"/>
    <n v="3"/>
    <x v="3"/>
    <n v="6"/>
    <n v="38"/>
    <d v="2024-02-09T00:00:00"/>
    <x v="303"/>
    <n v="7"/>
    <n v="475.59000000000003"/>
    <n v="513.59"/>
    <n v="0.2"/>
    <n v="102.71800000000002"/>
    <n v="410.87200000000001"/>
    <s v="Thomas Owens"/>
    <x v="1"/>
    <x v="1"/>
    <x v="0"/>
    <x v="0"/>
  </r>
  <r>
    <x v="83"/>
    <s v="Jessica"/>
    <s v="Ruiz"/>
    <n v="19"/>
    <x v="1"/>
    <x v="2"/>
    <s v="jessica.ruiz@rediffmail.com"/>
    <s v="02370 Laura Station Suite 309, Brandonville, DE 18875"/>
    <s v="OID9578"/>
    <x v="241"/>
    <s v="15:56:55"/>
    <x v="29"/>
    <n v="44.5"/>
    <n v="1"/>
    <x v="4"/>
    <n v="4"/>
    <n v="49"/>
    <d v="2023-12-18T00:00:00"/>
    <x v="304"/>
    <n v="6"/>
    <n v="44.5"/>
    <n v="93.5"/>
    <n v="0.1"/>
    <n v="9.35"/>
    <n v="84.15"/>
    <s v="Jessica Ruiz"/>
    <x v="1"/>
    <x v="7"/>
    <x v="2"/>
    <x v="1"/>
  </r>
  <r>
    <x v="29"/>
    <s v="Courtney"/>
    <s v="Parker"/>
    <n v="29"/>
    <x v="2"/>
    <x v="3"/>
    <s v="courtney.parker@yahoo.com"/>
    <s v="087 Jacqueline Rue Apt. 694, East Tasha, SC 04859"/>
    <s v="OID5985"/>
    <x v="197"/>
    <s v="14:57:23"/>
    <x v="23"/>
    <n v="129.75"/>
    <n v="2"/>
    <x v="2"/>
    <n v="4"/>
    <n v="53"/>
    <d v="2024-11-24T00:00:00"/>
    <x v="305"/>
    <n v="4"/>
    <n v="259.5"/>
    <n v="312.5"/>
    <n v="0"/>
    <n v="0"/>
    <n v="312.5"/>
    <s v="Courtney Parker"/>
    <x v="2"/>
    <x v="11"/>
    <x v="0"/>
    <x v="3"/>
  </r>
  <r>
    <x v="78"/>
    <s v="Mark"/>
    <s v="Summers"/>
    <n v="55"/>
    <x v="1"/>
    <x v="5"/>
    <s v="mark.summers@outlook.com"/>
    <s v="08413 Lynch Parkway, Calderonstad, NV 32697"/>
    <s v="OID2571"/>
    <x v="240"/>
    <s v="19:33:36"/>
    <x v="9"/>
    <n v="175.93"/>
    <n v="2"/>
    <x v="2"/>
    <n v="6"/>
    <n v="50"/>
    <d v="2024-02-03T00:00:00"/>
    <x v="306"/>
    <n v="1"/>
    <n v="351.86"/>
    <n v="401.86"/>
    <n v="0"/>
    <n v="0"/>
    <n v="401.86"/>
    <s v="Mark Summers"/>
    <x v="0"/>
    <x v="1"/>
    <x v="0"/>
    <x v="0"/>
  </r>
  <r>
    <x v="73"/>
    <s v="Susan"/>
    <s v="Thompson"/>
    <n v="37"/>
    <x v="2"/>
    <x v="7"/>
    <s v="susan.thompson@outlook.com"/>
    <s v="47821 William Station, East Ashleymouth, FL 20562"/>
    <s v="OID6045"/>
    <x v="242"/>
    <s v="17:53:46"/>
    <x v="33"/>
    <n v="421.7"/>
    <n v="5"/>
    <x v="1"/>
    <n v="2"/>
    <n v="56"/>
    <d v="2025-01-17T00:00:00"/>
    <x v="307"/>
    <n v="3"/>
    <n v="2108.5"/>
    <n v="2164.5"/>
    <n v="0.15"/>
    <n v="324.67500000000001"/>
    <n v="1839.825"/>
    <s v="Susan Thompson"/>
    <x v="1"/>
    <x v="5"/>
    <x v="1"/>
    <x v="0"/>
  </r>
  <r>
    <x v="55"/>
    <s v="William"/>
    <s v="Mann"/>
    <n v="21"/>
    <x v="0"/>
    <x v="1"/>
    <s v="william.mann@yahoo.com"/>
    <s v="849 Tran Wells, New Lindsayville, WI 22669"/>
    <s v="OID1336"/>
    <x v="243"/>
    <s v="13:40:58"/>
    <x v="40"/>
    <n v="445.81"/>
    <n v="1"/>
    <x v="3"/>
    <n v="7"/>
    <n v="41"/>
    <d v="2023-05-25T00:00:00"/>
    <x v="308"/>
    <n v="7"/>
    <n v="445.81"/>
    <n v="486.81"/>
    <n v="0.2"/>
    <n v="97.362000000000009"/>
    <n v="389.44799999999998"/>
    <s v="William Mann"/>
    <x v="2"/>
    <x v="2"/>
    <x v="2"/>
    <x v="3"/>
  </r>
  <r>
    <x v="61"/>
    <s v="Troy"/>
    <s v="Gomez"/>
    <n v="68"/>
    <x v="0"/>
    <x v="7"/>
    <s v="troy.gomez@outlook.com"/>
    <s v="7510 Jose Knolls, Candicechester, LA 62815"/>
    <s v="OID7117"/>
    <x v="244"/>
    <s v="04:49:20"/>
    <x v="36"/>
    <n v="425.59"/>
    <n v="2"/>
    <x v="2"/>
    <n v="2"/>
    <n v="67"/>
    <d v="2023-02-20T00:00:00"/>
    <x v="309"/>
    <n v="4"/>
    <n v="851.18"/>
    <n v="918.18"/>
    <n v="0"/>
    <n v="0"/>
    <n v="918.18"/>
    <s v="Troy Gomez"/>
    <x v="1"/>
    <x v="1"/>
    <x v="2"/>
    <x v="0"/>
  </r>
  <r>
    <x v="32"/>
    <s v="Robert"/>
    <s v="Castillo"/>
    <n v="32"/>
    <x v="1"/>
    <x v="6"/>
    <s v="robert.castillo@gmail.com"/>
    <s v="7143 Brandon Skyway Suite 899, Tylerton, IA 21756"/>
    <s v="OID3749"/>
    <x v="245"/>
    <s v="16:34:44"/>
    <x v="36"/>
    <n v="425.59"/>
    <n v="1"/>
    <x v="0"/>
    <n v="1"/>
    <n v="62"/>
    <d v="2024-08-14T00:00:00"/>
    <x v="310"/>
    <n v="3"/>
    <n v="425.59"/>
    <n v="487.59"/>
    <n v="0.08"/>
    <n v="39.007199999999997"/>
    <n v="448.58279999999996"/>
    <s v="Robert Castillo"/>
    <x v="1"/>
    <x v="10"/>
    <x v="0"/>
    <x v="2"/>
  </r>
  <r>
    <x v="78"/>
    <s v="Mark"/>
    <s v="Summers"/>
    <n v="55"/>
    <x v="1"/>
    <x v="5"/>
    <s v="mark.summers@outlook.com"/>
    <s v="08413 Lynch Parkway, Calderonstad, NV 32697"/>
    <s v="OID7008"/>
    <x v="246"/>
    <s v="04:12:20"/>
    <x v="19"/>
    <n v="128.13999999999999"/>
    <n v="1"/>
    <x v="4"/>
    <n v="1"/>
    <n v="39"/>
    <d v="2023-02-25T00:00:00"/>
    <x v="311"/>
    <n v="6"/>
    <n v="128.13999999999999"/>
    <n v="167.14"/>
    <n v="0.1"/>
    <n v="16.713999999999999"/>
    <n v="150.42599999999999"/>
    <s v="Mark Summers"/>
    <x v="1"/>
    <x v="1"/>
    <x v="2"/>
    <x v="0"/>
  </r>
  <r>
    <x v="82"/>
    <s v="Brendan"/>
    <s v="Kelly"/>
    <n v="50"/>
    <x v="2"/>
    <x v="6"/>
    <s v="brendan.kelly@rediffmail.com"/>
    <s v="688 Donald Oval Suite 089, Shepardport, CA 50844"/>
    <s v="OID8913"/>
    <x v="247"/>
    <s v="20:53:04"/>
    <x v="42"/>
    <n v="235.63"/>
    <n v="1"/>
    <x v="3"/>
    <n v="7"/>
    <n v="46"/>
    <d v="2025-02-01T00:00:00"/>
    <x v="312"/>
    <n v="5"/>
    <n v="235.63"/>
    <n v="281.63"/>
    <n v="0.2"/>
    <n v="56.326000000000001"/>
    <n v="225.304"/>
    <s v="Brendan Kelly"/>
    <x v="0"/>
    <x v="5"/>
    <x v="1"/>
    <x v="1"/>
  </r>
  <r>
    <x v="90"/>
    <s v="Lauren"/>
    <s v="Lane"/>
    <n v="30"/>
    <x v="0"/>
    <x v="7"/>
    <s v="lauren.lane@gmail.com"/>
    <s v="56985 Sergio Extensions, Port Albert, CO 02898"/>
    <s v="OID1597"/>
    <x v="248"/>
    <s v="05:27:44"/>
    <x v="21"/>
    <n v="157.63999999999999"/>
    <n v="2"/>
    <x v="3"/>
    <n v="1"/>
    <n v="57"/>
    <d v="2024-04-19T00:00:00"/>
    <x v="313"/>
    <n v="1"/>
    <n v="315.27999999999997"/>
    <n v="372.28"/>
    <n v="0.2"/>
    <n v="74.456000000000003"/>
    <n v="297.82399999999996"/>
    <s v="Lauren Lane"/>
    <x v="2"/>
    <x v="3"/>
    <x v="0"/>
    <x v="2"/>
  </r>
  <r>
    <x v="74"/>
    <s v="Amy"/>
    <s v="Griffin"/>
    <n v="29"/>
    <x v="0"/>
    <x v="1"/>
    <s v="amy.griffin@rediffmail.com"/>
    <s v="07350 Aaron Meadow Suite 138, Kiaraberg, AL 79545"/>
    <s v="OID4412"/>
    <x v="125"/>
    <s v="06:35:14"/>
    <x v="16"/>
    <n v="132.97"/>
    <n v="3"/>
    <x v="1"/>
    <n v="3"/>
    <n v="36"/>
    <d v="2023-07-03T00:00:00"/>
    <x v="314"/>
    <n v="2"/>
    <n v="398.90999999999997"/>
    <n v="434.90999999999997"/>
    <n v="0.15"/>
    <n v="65.236499999999992"/>
    <n v="369.67349999999999"/>
    <s v="Amy Griffin"/>
    <x v="0"/>
    <x v="9"/>
    <x v="2"/>
    <x v="1"/>
  </r>
  <r>
    <x v="32"/>
    <s v="Robert"/>
    <s v="Castillo"/>
    <n v="32"/>
    <x v="1"/>
    <x v="6"/>
    <s v="robert.castillo@gmail.com"/>
    <s v="7143 Brandon Skyway Suite 899, Tylerton, IA 21756"/>
    <s v="OID3900"/>
    <x v="249"/>
    <s v="20:14:30"/>
    <x v="24"/>
    <n v="481.48"/>
    <n v="1"/>
    <x v="1"/>
    <n v="4"/>
    <n v="67"/>
    <d v="2023-08-12T00:00:00"/>
    <x v="315"/>
    <n v="7"/>
    <n v="481.48"/>
    <n v="548.48"/>
    <n v="0.15"/>
    <n v="82.272000000000006"/>
    <n v="466.20800000000003"/>
    <s v="Robert Castillo"/>
    <x v="1"/>
    <x v="10"/>
    <x v="2"/>
    <x v="2"/>
  </r>
  <r>
    <x v="10"/>
    <s v="Kara"/>
    <s v="Brennan"/>
    <n v="25"/>
    <x v="2"/>
    <x v="4"/>
    <s v="kara.brennan@outlook.com"/>
    <s v="2174 Thomas Avenue, Maciasborough, NJ 41465"/>
    <s v="OID9756"/>
    <x v="250"/>
    <s v="06:46:07"/>
    <x v="24"/>
    <n v="481.48"/>
    <n v="2"/>
    <x v="4"/>
    <n v="7"/>
    <n v="66"/>
    <d v="2023-10-19T00:00:00"/>
    <x v="316"/>
    <n v="7"/>
    <n v="962.96"/>
    <n v="1028.96"/>
    <n v="0.1"/>
    <n v="102.89600000000002"/>
    <n v="926.06400000000008"/>
    <s v="Kara Brennan"/>
    <x v="2"/>
    <x v="8"/>
    <x v="2"/>
    <x v="0"/>
  </r>
  <r>
    <x v="91"/>
    <s v="William"/>
    <s v="Richmond"/>
    <n v="57"/>
    <x v="2"/>
    <x v="4"/>
    <s v="william.richmond@outlook.com"/>
    <s v="4021 Brown Orchard Apt. 026, Christinahaven, OK 18499"/>
    <s v="OID8307"/>
    <x v="251"/>
    <s v="23:19:47"/>
    <x v="22"/>
    <n v="158.53"/>
    <n v="5"/>
    <x v="3"/>
    <n v="1"/>
    <n v="46"/>
    <d v="2023-08-13T00:00:00"/>
    <x v="317"/>
    <n v="4"/>
    <n v="792.65"/>
    <n v="838.65"/>
    <n v="0.2"/>
    <n v="167.73000000000002"/>
    <n v="670.92"/>
    <s v="William Richmond"/>
    <x v="1"/>
    <x v="10"/>
    <x v="2"/>
    <x v="0"/>
  </r>
  <r>
    <x v="87"/>
    <s v="Jared"/>
    <s v="Horn"/>
    <n v="43"/>
    <x v="0"/>
    <x v="4"/>
    <s v="jared.horn@outlook.com"/>
    <s v="43325 Barbara Tunnel, Port James, LA 16246"/>
    <s v="OID5575"/>
    <x v="252"/>
    <s v="12:50:48"/>
    <x v="12"/>
    <n v="272.51"/>
    <n v="2"/>
    <x v="3"/>
    <n v="5"/>
    <n v="37"/>
    <d v="2024-12-14T00:00:00"/>
    <x v="318"/>
    <n v="3"/>
    <n v="545.02"/>
    <n v="582.02"/>
    <n v="0.2"/>
    <n v="116.404"/>
    <n v="465.61599999999999"/>
    <s v="Jared Horn"/>
    <x v="0"/>
    <x v="7"/>
    <x v="0"/>
    <x v="0"/>
  </r>
  <r>
    <x v="82"/>
    <s v="Brendan"/>
    <s v="Kelly"/>
    <n v="50"/>
    <x v="2"/>
    <x v="6"/>
    <s v="brendan.kelly@rediffmail.com"/>
    <s v="688 Donald Oval Suite 089, Shepardport, CA 50844"/>
    <s v="OID5883"/>
    <x v="38"/>
    <s v="21:08:26"/>
    <x v="13"/>
    <n v="104.18"/>
    <n v="2"/>
    <x v="1"/>
    <n v="5"/>
    <n v="65"/>
    <d v="2024-12-31T00:00:00"/>
    <x v="319"/>
    <n v="1"/>
    <n v="208.36"/>
    <n v="273.36"/>
    <n v="0.15"/>
    <n v="41.003999999999998"/>
    <n v="232.35600000000002"/>
    <s v="Brendan Kelly"/>
    <x v="0"/>
    <x v="7"/>
    <x v="0"/>
    <x v="1"/>
  </r>
  <r>
    <x v="13"/>
    <s v="Erin"/>
    <s v="Miller"/>
    <n v="46"/>
    <x v="0"/>
    <x v="6"/>
    <s v="erin.miller@gmail.com"/>
    <s v="65972 Peterson Route, Port Andrewfurt, SD 32892"/>
    <s v="OID6340"/>
    <x v="253"/>
    <s v="10:50:30"/>
    <x v="46"/>
    <n v="20"/>
    <n v="2"/>
    <x v="4"/>
    <n v="3"/>
    <n v="38"/>
    <d v="2024-07-12T00:00:00"/>
    <x v="320"/>
    <n v="6"/>
    <n v="40"/>
    <n v="78"/>
    <n v="0.1"/>
    <n v="7.8000000000000007"/>
    <n v="70.2"/>
    <s v="Erin Miller"/>
    <x v="1"/>
    <x v="9"/>
    <x v="0"/>
    <x v="2"/>
  </r>
  <r>
    <x v="40"/>
    <s v="Mary"/>
    <s v="Knight"/>
    <n v="28"/>
    <x v="2"/>
    <x v="2"/>
    <s v="mary.knight@yahoo.com"/>
    <s v="907 Kimberly Hill, Murrayfort, NH 88384"/>
    <s v="OID2501"/>
    <x v="254"/>
    <s v="11:53:55"/>
    <x v="43"/>
    <n v="424.82"/>
    <n v="1"/>
    <x v="0"/>
    <n v="5"/>
    <n v="49"/>
    <d v="2024-08-04T00:00:00"/>
    <x v="321"/>
    <n v="7"/>
    <n v="424.82"/>
    <n v="473.82"/>
    <n v="0.08"/>
    <n v="37.9056"/>
    <n v="435.9144"/>
    <s v="Mary Knight"/>
    <x v="1"/>
    <x v="9"/>
    <x v="0"/>
    <x v="3"/>
  </r>
  <r>
    <x v="86"/>
    <s v="Megan"/>
    <s v="Hunt"/>
    <n v="63"/>
    <x v="0"/>
    <x v="6"/>
    <s v="megan.hunt@rediffmail.com"/>
    <s v="03765 Velazquez Knoll Suite 478, Richardshire, UT 17200"/>
    <s v="OID6973"/>
    <x v="255"/>
    <s v="04:03:12"/>
    <x v="11"/>
    <n v="220.27"/>
    <n v="5"/>
    <x v="3"/>
    <n v="6"/>
    <n v="57"/>
    <d v="2023-07-02T00:00:00"/>
    <x v="322"/>
    <n v="2"/>
    <n v="1101.3500000000001"/>
    <n v="1158.3500000000001"/>
    <n v="0.2"/>
    <n v="231.67000000000004"/>
    <n v="926.68000000000006"/>
    <s v="Megan Hunt"/>
    <x v="0"/>
    <x v="6"/>
    <x v="2"/>
    <x v="1"/>
  </r>
  <r>
    <x v="36"/>
    <s v="Jason"/>
    <s v="Lopez"/>
    <n v="40"/>
    <x v="2"/>
    <x v="6"/>
    <s v="jason.lopez@outlook.com"/>
    <s v="934 Levine View, Brentport, NE 38210"/>
    <s v="OID6597"/>
    <x v="234"/>
    <s v="19:44:28"/>
    <x v="36"/>
    <n v="425.59"/>
    <n v="5"/>
    <x v="2"/>
    <n v="4"/>
    <n v="43"/>
    <d v="2024-08-27T00:00:00"/>
    <x v="323"/>
    <n v="4"/>
    <n v="2127.9499999999998"/>
    <n v="2170.9499999999998"/>
    <n v="0"/>
    <n v="0"/>
    <n v="2170.9499999999998"/>
    <s v="Jason Lopez"/>
    <x v="2"/>
    <x v="10"/>
    <x v="0"/>
    <x v="0"/>
  </r>
  <r>
    <x v="90"/>
    <s v="Lauren"/>
    <s v="Lane"/>
    <n v="30"/>
    <x v="0"/>
    <x v="7"/>
    <s v="lauren.lane@gmail.com"/>
    <s v="56985 Sergio Extensions, Port Albert, CO 02898"/>
    <s v="OID4840"/>
    <x v="256"/>
    <s v="12:38:37"/>
    <x v="7"/>
    <n v="48.45"/>
    <n v="3"/>
    <x v="4"/>
    <n v="2"/>
    <n v="63"/>
    <d v="2024-05-10T00:00:00"/>
    <x v="324"/>
    <n v="2"/>
    <n v="145.35000000000002"/>
    <n v="208.35000000000002"/>
    <n v="0.1"/>
    <n v="20.835000000000004"/>
    <n v="187.51500000000001"/>
    <s v="Lauren Lane"/>
    <x v="2"/>
    <x v="2"/>
    <x v="0"/>
    <x v="2"/>
  </r>
  <r>
    <x v="84"/>
    <s v="Hannah"/>
    <s v="Gutierrez"/>
    <n v="55"/>
    <x v="1"/>
    <x v="5"/>
    <s v="hannah.gutierrez@yahoo.com"/>
    <s v="2420 David Manors, Jessicaland, CT 41698"/>
    <s v="OID5389"/>
    <x v="112"/>
    <s v="14:52:37"/>
    <x v="13"/>
    <n v="104.18"/>
    <n v="2"/>
    <x v="0"/>
    <n v="4"/>
    <n v="43"/>
    <d v="2023-09-21T00:00:00"/>
    <x v="325"/>
    <n v="4"/>
    <n v="208.36"/>
    <n v="251.36"/>
    <n v="0.08"/>
    <n v="20.108800000000002"/>
    <n v="231.25120000000001"/>
    <s v="Hannah Gutierrez"/>
    <x v="2"/>
    <x v="4"/>
    <x v="2"/>
    <x v="3"/>
  </r>
  <r>
    <x v="85"/>
    <s v="Angela"/>
    <s v="Casey"/>
    <n v="40"/>
    <x v="0"/>
    <x v="2"/>
    <s v="angela.casey@gmail.com"/>
    <s v="089 Farley Terrace, Thomashaven, MT 56607"/>
    <s v="OID8649"/>
    <x v="257"/>
    <s v="08:43:40"/>
    <x v="40"/>
    <n v="445.81"/>
    <n v="1"/>
    <x v="2"/>
    <n v="1"/>
    <n v="51"/>
    <d v="2023-09-29T00:00:00"/>
    <x v="326"/>
    <n v="3"/>
    <n v="445.81"/>
    <n v="496.81"/>
    <n v="0"/>
    <n v="0"/>
    <n v="496.81"/>
    <s v="Angela Casey"/>
    <x v="1"/>
    <x v="4"/>
    <x v="2"/>
    <x v="2"/>
  </r>
  <r>
    <x v="89"/>
    <s v="Sarah"/>
    <s v="Benson"/>
    <n v="40"/>
    <x v="2"/>
    <x v="7"/>
    <s v="sarah.benson@outlook.com"/>
    <s v="5399 Hayes Well, West Pennystad, IL 93798"/>
    <s v="OID2779"/>
    <x v="258"/>
    <s v="03:11:02"/>
    <x v="16"/>
    <n v="132.97"/>
    <n v="2"/>
    <x v="4"/>
    <n v="6"/>
    <n v="69"/>
    <d v="2024-10-13T00:00:00"/>
    <x v="327"/>
    <n v="5"/>
    <n v="265.94"/>
    <n v="334.94"/>
    <n v="0.1"/>
    <n v="33.494"/>
    <n v="301.44600000000003"/>
    <s v="Sarah Benson"/>
    <x v="0"/>
    <x v="8"/>
    <x v="0"/>
    <x v="0"/>
  </r>
  <r>
    <x v="84"/>
    <s v="Hannah"/>
    <s v="Gutierrez"/>
    <n v="55"/>
    <x v="1"/>
    <x v="5"/>
    <s v="hannah.gutierrez@yahoo.com"/>
    <s v="2420 David Manors, Jessicaland, CT 41698"/>
    <s v="OID4185"/>
    <x v="259"/>
    <s v="17:17:44"/>
    <x v="33"/>
    <n v="421.7"/>
    <n v="4"/>
    <x v="0"/>
    <n v="5"/>
    <n v="55"/>
    <d v="2024-04-07T00:00:00"/>
    <x v="328"/>
    <n v="5"/>
    <n v="1686.8"/>
    <n v="1741.8"/>
    <n v="0.08"/>
    <n v="139.34399999999999"/>
    <n v="1602.4559999999999"/>
    <s v="Hannah Gutierrez"/>
    <x v="2"/>
    <x v="3"/>
    <x v="0"/>
    <x v="3"/>
  </r>
  <r>
    <x v="84"/>
    <s v="Hannah"/>
    <s v="Gutierrez"/>
    <n v="55"/>
    <x v="1"/>
    <x v="5"/>
    <s v="hannah.gutierrez@yahoo.com"/>
    <s v="2420 David Manors, Jessicaland, CT 41698"/>
    <s v="OID1243"/>
    <x v="260"/>
    <s v="17:27:56"/>
    <x v="38"/>
    <n v="477.52"/>
    <n v="1"/>
    <x v="2"/>
    <n v="7"/>
    <n v="48"/>
    <d v="2024-04-11T00:00:00"/>
    <x v="329"/>
    <n v="5"/>
    <n v="477.52"/>
    <n v="525.52"/>
    <n v="0"/>
    <n v="0"/>
    <n v="525.52"/>
    <s v="Hannah Gutierrez"/>
    <x v="0"/>
    <x v="3"/>
    <x v="0"/>
    <x v="3"/>
  </r>
  <r>
    <x v="43"/>
    <s v="Rebecca"/>
    <s v="Figueroa"/>
    <n v="63"/>
    <x v="0"/>
    <x v="4"/>
    <s v="rebecca.figueroa@outlook.com"/>
    <s v="3959 Bell Dale, North Jacob, LA 07934"/>
    <s v="OID4147"/>
    <x v="261"/>
    <s v="03:23:04"/>
    <x v="46"/>
    <n v="20"/>
    <n v="2"/>
    <x v="2"/>
    <n v="5"/>
    <n v="55"/>
    <d v="2024-12-03T00:00:00"/>
    <x v="330"/>
    <n v="6"/>
    <n v="40"/>
    <n v="95"/>
    <n v="0"/>
    <n v="0"/>
    <n v="95"/>
    <s v="Rebecca Figueroa"/>
    <x v="1"/>
    <x v="11"/>
    <x v="0"/>
    <x v="0"/>
  </r>
  <r>
    <x v="22"/>
    <s v="Ashley"/>
    <s v="Rose"/>
    <n v="60"/>
    <x v="2"/>
    <x v="0"/>
    <s v="ashley.rose@gmail.com"/>
    <s v="424 Nichols Curve Suite 177, Lake Brianview, TX 17289"/>
    <s v="OID3681"/>
    <x v="11"/>
    <s v="08:45:23"/>
    <x v="42"/>
    <n v="235.63"/>
    <n v="1"/>
    <x v="4"/>
    <n v="1"/>
    <n v="38"/>
    <d v="2024-07-31T00:00:00"/>
    <x v="331"/>
    <n v="6"/>
    <n v="235.63"/>
    <n v="273.63"/>
    <n v="0.1"/>
    <n v="27.363"/>
    <n v="246.267"/>
    <s v="Ashley Rose"/>
    <x v="1"/>
    <x v="9"/>
    <x v="0"/>
    <x v="2"/>
  </r>
  <r>
    <x v="82"/>
    <s v="Brendan"/>
    <s v="Kelly"/>
    <n v="50"/>
    <x v="2"/>
    <x v="6"/>
    <s v="brendan.kelly@rediffmail.com"/>
    <s v="688 Donald Oval Suite 089, Shepardport, CA 50844"/>
    <s v="OID5229"/>
    <x v="262"/>
    <s v="08:36:31"/>
    <x v="49"/>
    <n v="33.49"/>
    <n v="4"/>
    <x v="1"/>
    <n v="4"/>
    <n v="67"/>
    <d v="2024-01-03T00:00:00"/>
    <x v="332"/>
    <n v="5"/>
    <n v="133.96"/>
    <n v="200.96"/>
    <n v="0.15"/>
    <n v="30.143999999999998"/>
    <n v="170.816"/>
    <s v="Brendan Kelly"/>
    <x v="1"/>
    <x v="7"/>
    <x v="2"/>
    <x v="1"/>
  </r>
  <r>
    <x v="30"/>
    <s v="Julie"/>
    <s v="Meyer"/>
    <n v="23"/>
    <x v="0"/>
    <x v="0"/>
    <s v="julie.meyer@yahoo.com"/>
    <s v="17381 Smith Ramp Suite 398, Courtneyville, AL 17756"/>
    <s v="OID9990"/>
    <x v="183"/>
    <s v="21:53:54"/>
    <x v="34"/>
    <n v="136.30000000000001"/>
    <n v="4"/>
    <x v="4"/>
    <n v="1"/>
    <n v="35"/>
    <d v="2023-12-15T00:00:00"/>
    <x v="333"/>
    <n v="4"/>
    <n v="545.20000000000005"/>
    <n v="580.20000000000005"/>
    <n v="0.1"/>
    <n v="58.02000000000001"/>
    <n v="522.18000000000006"/>
    <s v="Julie Meyer"/>
    <x v="1"/>
    <x v="7"/>
    <x v="2"/>
    <x v="3"/>
  </r>
  <r>
    <x v="76"/>
    <s v="Natasha"/>
    <s v="Michael"/>
    <n v="49"/>
    <x v="0"/>
    <x v="1"/>
    <s v="natasha.michael@gmail.com"/>
    <s v="78992 Justin Estates Suite 226, Floresberg, NM 40797"/>
    <s v="OID1756"/>
    <x v="263"/>
    <s v="10:58:30"/>
    <x v="18"/>
    <n v="282.63"/>
    <n v="4"/>
    <x v="4"/>
    <n v="1"/>
    <n v="48"/>
    <d v="2023-07-18T00:00:00"/>
    <x v="334"/>
    <n v="3"/>
    <n v="1130.52"/>
    <n v="1178.52"/>
    <n v="0.1"/>
    <n v="117.852"/>
    <n v="1060.6679999999999"/>
    <s v="Natasha Michael"/>
    <x v="1"/>
    <x v="9"/>
    <x v="2"/>
    <x v="2"/>
  </r>
  <r>
    <x v="72"/>
    <s v="Leslie"/>
    <s v="Montgomery"/>
    <n v="26"/>
    <x v="1"/>
    <x v="5"/>
    <s v="leslie.montgomery@gmail.com"/>
    <s v="135 Teresa Oval Apt. 825, East Katherineport, WY 13714"/>
    <s v="OID1866"/>
    <x v="264"/>
    <s v="05:53:55"/>
    <x v="12"/>
    <n v="272.51"/>
    <n v="5"/>
    <x v="4"/>
    <n v="4"/>
    <n v="45"/>
    <d v="2024-12-04T00:00:00"/>
    <x v="335"/>
    <n v="3"/>
    <n v="1362.55"/>
    <n v="1407.55"/>
    <n v="0.1"/>
    <n v="140.755"/>
    <n v="1266.7950000000001"/>
    <s v="Leslie Montgomery"/>
    <x v="0"/>
    <x v="7"/>
    <x v="0"/>
    <x v="2"/>
  </r>
  <r>
    <x v="71"/>
    <s v="James"/>
    <s v="Brown"/>
    <n v="60"/>
    <x v="0"/>
    <x v="4"/>
    <s v="james.brown@yahoo.com"/>
    <s v="221 Frey Crossing Suite 192, South Taylorland, HI 72875"/>
    <s v="OID2619"/>
    <x v="174"/>
    <s v="11:51:15"/>
    <x v="6"/>
    <n v="275.44"/>
    <n v="2"/>
    <x v="1"/>
    <n v="4"/>
    <n v="54"/>
    <d v="2023-05-13T00:00:00"/>
    <x v="336"/>
    <n v="6"/>
    <n v="550.88"/>
    <n v="604.88"/>
    <n v="0.15"/>
    <n v="90.731999999999999"/>
    <n v="514.14800000000002"/>
    <s v="James Brown"/>
    <x v="1"/>
    <x v="2"/>
    <x v="2"/>
    <x v="3"/>
  </r>
  <r>
    <x v="33"/>
    <s v="Timothy"/>
    <s v="Hicks"/>
    <n v="31"/>
    <x v="2"/>
    <x v="4"/>
    <s v="timothy.hicks@gmail.com"/>
    <s v="140 Tracy Fields, Lake Cynthiaton, TX 57190"/>
    <s v="OID2505"/>
    <x v="265"/>
    <s v="12:37:13"/>
    <x v="35"/>
    <n v="441.03"/>
    <n v="2"/>
    <x v="0"/>
    <n v="3"/>
    <n v="62"/>
    <d v="2023-08-13T00:00:00"/>
    <x v="337"/>
    <n v="3"/>
    <n v="882.06"/>
    <n v="944.06"/>
    <n v="0.08"/>
    <n v="75.524799999999999"/>
    <n v="868.53519999999992"/>
    <s v="Timothy Hicks"/>
    <x v="2"/>
    <x v="10"/>
    <x v="2"/>
    <x v="2"/>
  </r>
  <r>
    <x v="36"/>
    <s v="Jason"/>
    <s v="Lopez"/>
    <n v="40"/>
    <x v="2"/>
    <x v="6"/>
    <s v="jason.lopez@outlook.com"/>
    <s v="934 Levine View, Brentport, NE 38210"/>
    <s v="OID7850"/>
    <x v="177"/>
    <s v="14:59:43"/>
    <x v="23"/>
    <n v="129.75"/>
    <n v="2"/>
    <x v="1"/>
    <n v="1"/>
    <n v="62"/>
    <d v="2023-12-30T00:00:00"/>
    <x v="338"/>
    <n v="5"/>
    <n v="259.5"/>
    <n v="321.5"/>
    <n v="0.15"/>
    <n v="48.225000000000001"/>
    <n v="273.27499999999998"/>
    <s v="Jason Lopez"/>
    <x v="1"/>
    <x v="7"/>
    <x v="2"/>
    <x v="0"/>
  </r>
  <r>
    <x v="88"/>
    <s v="Veronica"/>
    <s v="Lopez"/>
    <n v="18"/>
    <x v="1"/>
    <x v="7"/>
    <s v="veronica.lopez@gmail.com"/>
    <s v="660 Karen Station Apt. 887, Allenside, ID 03170"/>
    <s v="OID1966"/>
    <x v="266"/>
    <s v="14:04:30"/>
    <x v="38"/>
    <n v="477.52"/>
    <n v="3"/>
    <x v="3"/>
    <n v="7"/>
    <n v="41"/>
    <d v="2025-01-29T00:00:00"/>
    <x v="339"/>
    <n v="4"/>
    <n v="1432.56"/>
    <n v="1473.56"/>
    <n v="0.2"/>
    <n v="294.71199999999999"/>
    <n v="1178.848"/>
    <s v="Veronica Lopez"/>
    <x v="0"/>
    <x v="5"/>
    <x v="1"/>
    <x v="2"/>
  </r>
  <r>
    <x v="48"/>
    <s v="Sharon"/>
    <s v="Thompson"/>
    <n v="57"/>
    <x v="1"/>
    <x v="7"/>
    <s v="sharon.thompson@yahoo.com"/>
    <s v="598 Jasmine Harbor, Turnerberg, SD 02371"/>
    <s v="OID3837"/>
    <x v="201"/>
    <s v="19:09:08"/>
    <x v="48"/>
    <n v="107.47"/>
    <n v="3"/>
    <x v="4"/>
    <n v="4"/>
    <n v="59"/>
    <d v="2024-06-11T00:00:00"/>
    <x v="340"/>
    <n v="1"/>
    <n v="322.40999999999997"/>
    <n v="381.40999999999997"/>
    <n v="0.1"/>
    <n v="38.140999999999998"/>
    <n v="343.26899999999995"/>
    <s v="Sharon Thompson"/>
    <x v="0"/>
    <x v="6"/>
    <x v="0"/>
    <x v="3"/>
  </r>
  <r>
    <x v="68"/>
    <s v="Kristina"/>
    <s v="Haynes"/>
    <n v="27"/>
    <x v="0"/>
    <x v="1"/>
    <s v="kristina.haynes@yahoo.com"/>
    <s v="18295 Thomas River, Kochville, NH 80868"/>
    <s v="OID9187"/>
    <x v="27"/>
    <s v="23:47:36"/>
    <x v="22"/>
    <n v="158.53"/>
    <n v="2"/>
    <x v="0"/>
    <n v="2"/>
    <n v="56"/>
    <d v="2023-09-18T00:00:00"/>
    <x v="341"/>
    <n v="2"/>
    <n v="317.06"/>
    <n v="373.06"/>
    <n v="0.08"/>
    <n v="29.844799999999999"/>
    <n v="343.21519999999998"/>
    <s v="Kristina Haynes"/>
    <x v="2"/>
    <x v="4"/>
    <x v="2"/>
    <x v="3"/>
  </r>
  <r>
    <x v="90"/>
    <s v="Lauren"/>
    <s v="Lane"/>
    <n v="30"/>
    <x v="0"/>
    <x v="7"/>
    <s v="lauren.lane@gmail.com"/>
    <s v="56985 Sergio Extensions, Port Albert, CO 02898"/>
    <s v="OID3760"/>
    <x v="267"/>
    <s v="09:05:02"/>
    <x v="35"/>
    <n v="441.03"/>
    <n v="2"/>
    <x v="2"/>
    <n v="4"/>
    <n v="55"/>
    <d v="2024-05-17T00:00:00"/>
    <x v="342"/>
    <n v="6"/>
    <n v="882.06"/>
    <n v="937.06"/>
    <n v="0"/>
    <n v="0"/>
    <n v="937.06"/>
    <s v="Lauren Lane"/>
    <x v="1"/>
    <x v="2"/>
    <x v="0"/>
    <x v="2"/>
  </r>
  <r>
    <x v="67"/>
    <s v="Barbara"/>
    <s v="Fuller"/>
    <n v="43"/>
    <x v="2"/>
    <x v="5"/>
    <s v="barbara.fuller@rediffmail.com"/>
    <s v="134 Mcintosh Unions Suite 574, Lake Laura, DE 96577"/>
    <s v="OID7065"/>
    <x v="16"/>
    <s v="09:15:42"/>
    <x v="32"/>
    <n v="87.09"/>
    <n v="5"/>
    <x v="2"/>
    <n v="7"/>
    <n v="56"/>
    <d v="2023-02-14T00:00:00"/>
    <x v="343"/>
    <n v="5"/>
    <n v="435.45000000000005"/>
    <n v="491.45000000000005"/>
    <n v="0"/>
    <n v="0"/>
    <n v="491.45000000000005"/>
    <s v="Barbara Fuller"/>
    <x v="0"/>
    <x v="1"/>
    <x v="2"/>
    <x v="1"/>
  </r>
  <r>
    <x v="21"/>
    <s v="Angela"/>
    <s v="Evans"/>
    <n v="52"/>
    <x v="2"/>
    <x v="1"/>
    <s v="angela.evans@outlook.com"/>
    <s v="16031 David Mountain Suite 431, Susanborough, PA 01910"/>
    <s v="OID6906"/>
    <x v="268"/>
    <s v="16:29:18"/>
    <x v="13"/>
    <n v="104.18"/>
    <n v="4"/>
    <x v="2"/>
    <n v="3"/>
    <n v="40"/>
    <d v="2024-01-17T00:00:00"/>
    <x v="344"/>
    <n v="5"/>
    <n v="416.72"/>
    <n v="456.72"/>
    <n v="0"/>
    <n v="0"/>
    <n v="456.72"/>
    <s v="Angela Evans"/>
    <x v="1"/>
    <x v="5"/>
    <x v="0"/>
    <x v="0"/>
  </r>
  <r>
    <x v="50"/>
    <s v="Katherine"/>
    <s v="Weber"/>
    <n v="42"/>
    <x v="2"/>
    <x v="2"/>
    <s v="katherine.weber@outlook.com"/>
    <s v="04887 Kimberly Union Apt. 645, Port Laura, IL 97219"/>
    <s v="OID7996"/>
    <x v="269"/>
    <s v="17:23:49"/>
    <x v="49"/>
    <n v="33.49"/>
    <n v="1"/>
    <x v="3"/>
    <n v="4"/>
    <n v="61"/>
    <d v="2025-01-11T00:00:00"/>
    <x v="311"/>
    <n v="2"/>
    <n v="33.49"/>
    <n v="94.490000000000009"/>
    <n v="0.2"/>
    <n v="18.898000000000003"/>
    <n v="75.592000000000013"/>
    <s v="Katherine Weber"/>
    <x v="0"/>
    <x v="5"/>
    <x v="1"/>
    <x v="0"/>
  </r>
  <r>
    <x v="90"/>
    <s v="Lauren"/>
    <s v="Lane"/>
    <n v="30"/>
    <x v="0"/>
    <x v="7"/>
    <s v="lauren.lane@gmail.com"/>
    <s v="56985 Sergio Extensions, Port Albert, CO 02898"/>
    <s v="OID9247"/>
    <x v="203"/>
    <s v="06:51:49"/>
    <x v="41"/>
    <n v="433.62"/>
    <n v="4"/>
    <x v="2"/>
    <n v="1"/>
    <n v="56"/>
    <d v="2024-04-10T00:00:00"/>
    <x v="345"/>
    <n v="6"/>
    <n v="1734.48"/>
    <n v="1790.48"/>
    <n v="0"/>
    <n v="0"/>
    <n v="1790.48"/>
    <s v="Lauren Lane"/>
    <x v="1"/>
    <x v="3"/>
    <x v="0"/>
    <x v="2"/>
  </r>
  <r>
    <x v="81"/>
    <s v="Thomas"/>
    <s v="Owens"/>
    <n v="34"/>
    <x v="2"/>
    <x v="7"/>
    <s v="thomas.owens@outlook.com"/>
    <s v="43920 Shaffer Valley Suite 531, South Jerry, MD 67120"/>
    <s v="OID7303"/>
    <x v="270"/>
    <s v="23:40:03"/>
    <x v="14"/>
    <n v="20.7"/>
    <n v="1"/>
    <x v="2"/>
    <n v="5"/>
    <n v="51"/>
    <d v="2023-06-09T00:00:00"/>
    <x v="346"/>
    <n v="1"/>
    <n v="20.7"/>
    <n v="71.7"/>
    <n v="0"/>
    <n v="0"/>
    <n v="71.7"/>
    <s v="Thomas Owens"/>
    <x v="0"/>
    <x v="6"/>
    <x v="2"/>
    <x v="0"/>
  </r>
  <r>
    <x v="41"/>
    <s v="Marcus"/>
    <s v="Rogers"/>
    <n v="36"/>
    <x v="1"/>
    <x v="0"/>
    <s v="marcus.rogers@outlook.com"/>
    <s v="06912 Brown Pine Apt. 763, Teresamouth, HI 24377"/>
    <s v="OID2173"/>
    <x v="271"/>
    <s v="00:41:18"/>
    <x v="35"/>
    <n v="441.03"/>
    <n v="2"/>
    <x v="4"/>
    <n v="4"/>
    <n v="60"/>
    <d v="2023-04-17T00:00:00"/>
    <x v="347"/>
    <n v="5"/>
    <n v="882.06"/>
    <n v="942.06"/>
    <n v="0.1"/>
    <n v="94.206000000000003"/>
    <n v="847.85399999999993"/>
    <s v="Marcus Rogers"/>
    <x v="1"/>
    <x v="3"/>
    <x v="2"/>
    <x v="0"/>
  </r>
  <r>
    <x v="82"/>
    <s v="Brendan"/>
    <s v="Kelly"/>
    <n v="50"/>
    <x v="2"/>
    <x v="6"/>
    <s v="brendan.kelly@rediffmail.com"/>
    <s v="688 Donald Oval Suite 089, Shepardport, CA 50844"/>
    <s v="OID5367"/>
    <x v="89"/>
    <s v="23:27:24"/>
    <x v="41"/>
    <n v="433.62"/>
    <n v="2"/>
    <x v="2"/>
    <n v="1"/>
    <n v="46"/>
    <d v="2023-09-17T00:00:00"/>
    <x v="348"/>
    <n v="3"/>
    <n v="867.24"/>
    <n v="913.24"/>
    <n v="0"/>
    <n v="0"/>
    <n v="913.24"/>
    <s v="Brendan Kelly"/>
    <x v="1"/>
    <x v="4"/>
    <x v="2"/>
    <x v="1"/>
  </r>
  <r>
    <x v="18"/>
    <s v="Christian"/>
    <s v="Clayton"/>
    <n v="39"/>
    <x v="1"/>
    <x v="5"/>
    <s v="christian.clayton@yahoo.com"/>
    <s v="065 Madison Way, Smithstad, CT 68011"/>
    <s v="OID9748"/>
    <x v="272"/>
    <s v="02:46:27"/>
    <x v="43"/>
    <n v="424.82"/>
    <n v="5"/>
    <x v="4"/>
    <n v="7"/>
    <n v="37"/>
    <d v="2024-04-11T00:00:00"/>
    <x v="349"/>
    <n v="6"/>
    <n v="2124.1"/>
    <n v="2161.1"/>
    <n v="0.1"/>
    <n v="216.11"/>
    <n v="1944.9899999999998"/>
    <s v="Christian Clayton"/>
    <x v="0"/>
    <x v="3"/>
    <x v="0"/>
    <x v="3"/>
  </r>
  <r>
    <x v="60"/>
    <s v="Christy"/>
    <s v="Chang"/>
    <n v="38"/>
    <x v="1"/>
    <x v="7"/>
    <s v="christy.chang@outlook.com"/>
    <s v="4647 Hannah Centers, Rhodesburgh, NH 89363"/>
    <s v="OID6469"/>
    <x v="273"/>
    <s v="06:59:53"/>
    <x v="41"/>
    <n v="433.62"/>
    <n v="3"/>
    <x v="4"/>
    <n v="2"/>
    <n v="39"/>
    <d v="2024-07-26T00:00:00"/>
    <x v="350"/>
    <n v="3"/>
    <n v="1300.8600000000001"/>
    <n v="1339.8600000000001"/>
    <n v="0.1"/>
    <n v="133.98600000000002"/>
    <n v="1205.874"/>
    <s v="Christy Chang"/>
    <x v="1"/>
    <x v="9"/>
    <x v="0"/>
    <x v="0"/>
  </r>
  <r>
    <x v="73"/>
    <s v="Susan"/>
    <s v="Thompson"/>
    <n v="37"/>
    <x v="2"/>
    <x v="7"/>
    <s v="susan.thompson@outlook.com"/>
    <s v="47821 William Station, East Ashleymouth, FL 20562"/>
    <s v="OID1013"/>
    <x v="274"/>
    <s v="20:28:31"/>
    <x v="42"/>
    <n v="235.63"/>
    <n v="1"/>
    <x v="3"/>
    <n v="5"/>
    <n v="59"/>
    <d v="2023-09-23T00:00:00"/>
    <x v="351"/>
    <n v="5"/>
    <n v="235.63"/>
    <n v="294.63"/>
    <n v="0.2"/>
    <n v="58.926000000000002"/>
    <n v="235.70400000000001"/>
    <s v="Susan Thompson"/>
    <x v="2"/>
    <x v="4"/>
    <x v="2"/>
    <x v="0"/>
  </r>
  <r>
    <x v="89"/>
    <s v="Sarah"/>
    <s v="Benson"/>
    <n v="40"/>
    <x v="2"/>
    <x v="7"/>
    <s v="sarah.benson@outlook.com"/>
    <s v="5399 Hayes Well, West Pennystad, IL 93798"/>
    <s v="OID1219"/>
    <x v="275"/>
    <s v="13:39:02"/>
    <x v="33"/>
    <n v="421.7"/>
    <n v="5"/>
    <x v="1"/>
    <n v="6"/>
    <n v="58"/>
    <d v="2023-09-28T00:00:00"/>
    <x v="352"/>
    <n v="7"/>
    <n v="2108.5"/>
    <n v="2166.5"/>
    <n v="0.15"/>
    <n v="324.97499999999997"/>
    <n v="1841.5250000000001"/>
    <s v="Sarah Benson"/>
    <x v="1"/>
    <x v="4"/>
    <x v="2"/>
    <x v="0"/>
  </r>
  <r>
    <x v="48"/>
    <s v="Sharon"/>
    <s v="Thompson"/>
    <n v="57"/>
    <x v="1"/>
    <x v="7"/>
    <s v="sharon.thompson@yahoo.com"/>
    <s v="598 Jasmine Harbor, Turnerberg, SD 02371"/>
    <s v="OID9988"/>
    <x v="253"/>
    <s v="09:27:52"/>
    <x v="25"/>
    <n v="77.84"/>
    <n v="4"/>
    <x v="3"/>
    <n v="2"/>
    <n v="59"/>
    <d v="2024-07-12T00:00:00"/>
    <x v="353"/>
    <n v="6"/>
    <n v="311.36"/>
    <n v="370.36"/>
    <n v="0.2"/>
    <n v="74.072000000000003"/>
    <n v="296.28800000000001"/>
    <s v="Sharon Thompson"/>
    <x v="1"/>
    <x v="9"/>
    <x v="0"/>
    <x v="3"/>
  </r>
  <r>
    <x v="84"/>
    <s v="Hannah"/>
    <s v="Gutierrez"/>
    <n v="55"/>
    <x v="1"/>
    <x v="5"/>
    <s v="hannah.gutierrez@yahoo.com"/>
    <s v="2420 David Manors, Jessicaland, CT 41698"/>
    <s v="OID1669"/>
    <x v="276"/>
    <s v="04:59:13"/>
    <x v="32"/>
    <n v="87.09"/>
    <n v="2"/>
    <x v="1"/>
    <n v="3"/>
    <n v="62"/>
    <d v="2023-03-02T00:00:00"/>
    <x v="354"/>
    <n v="5"/>
    <n v="174.18"/>
    <n v="236.18"/>
    <n v="0.15"/>
    <n v="35.427"/>
    <n v="200.75300000000001"/>
    <s v="Hannah Gutierrez"/>
    <x v="1"/>
    <x v="1"/>
    <x v="2"/>
    <x v="3"/>
  </r>
  <r>
    <x v="87"/>
    <s v="Jared"/>
    <s v="Horn"/>
    <n v="43"/>
    <x v="0"/>
    <x v="4"/>
    <s v="jared.horn@outlook.com"/>
    <s v="43325 Barbara Tunnel, Port James, LA 16246"/>
    <s v="OID7329"/>
    <x v="103"/>
    <s v="01:19:42"/>
    <x v="13"/>
    <n v="104.18"/>
    <n v="3"/>
    <x v="4"/>
    <n v="6"/>
    <n v="60"/>
    <d v="2024-04-16T00:00:00"/>
    <x v="355"/>
    <n v="1"/>
    <n v="312.54000000000002"/>
    <n v="372.54"/>
    <n v="0.1"/>
    <n v="37.254000000000005"/>
    <n v="335.286"/>
    <s v="Jared Horn"/>
    <x v="0"/>
    <x v="3"/>
    <x v="0"/>
    <x v="0"/>
  </r>
  <r>
    <x v="70"/>
    <s v="Edward"/>
    <s v="Black"/>
    <n v="42"/>
    <x v="0"/>
    <x v="2"/>
    <s v="edward.black@gmail.com"/>
    <s v="5879 Susan Via Apt. 886, Sandovalbury, WV 61449"/>
    <s v="OID2873"/>
    <x v="277"/>
    <s v="05:54:36"/>
    <x v="48"/>
    <n v="107.47"/>
    <n v="3"/>
    <x v="2"/>
    <n v="4"/>
    <n v="63"/>
    <d v="2024-07-08T00:00:00"/>
    <x v="356"/>
    <n v="7"/>
    <n v="322.40999999999997"/>
    <n v="385.40999999999997"/>
    <n v="0"/>
    <n v="0"/>
    <n v="385.40999999999997"/>
    <s v="Edward Black"/>
    <x v="1"/>
    <x v="9"/>
    <x v="0"/>
    <x v="2"/>
  </r>
  <r>
    <x v="78"/>
    <s v="Mark"/>
    <s v="Summers"/>
    <n v="55"/>
    <x v="1"/>
    <x v="5"/>
    <s v="mark.summers@outlook.com"/>
    <s v="08413 Lynch Parkway, Calderonstad, NV 32697"/>
    <s v="OID4932"/>
    <x v="144"/>
    <s v="06:50:14"/>
    <x v="7"/>
    <n v="48.45"/>
    <n v="3"/>
    <x v="2"/>
    <n v="6"/>
    <n v="58"/>
    <d v="2023-04-30T00:00:00"/>
    <x v="357"/>
    <n v="1"/>
    <n v="145.35000000000002"/>
    <n v="203.35000000000002"/>
    <n v="0"/>
    <n v="0"/>
    <n v="203.35000000000002"/>
    <s v="Mark Summers"/>
    <x v="0"/>
    <x v="3"/>
    <x v="2"/>
    <x v="0"/>
  </r>
  <r>
    <x v="40"/>
    <s v="Mary"/>
    <s v="Knight"/>
    <n v="28"/>
    <x v="2"/>
    <x v="2"/>
    <s v="mary.knight@yahoo.com"/>
    <s v="907 Kimberly Hill, Murrayfort, NH 88384"/>
    <s v="OID4169"/>
    <x v="278"/>
    <s v="11:52:12"/>
    <x v="8"/>
    <n v="257.06"/>
    <n v="4"/>
    <x v="4"/>
    <n v="6"/>
    <n v="69"/>
    <d v="2024-11-07T00:00:00"/>
    <x v="358"/>
    <n v="3"/>
    <n v="1028.24"/>
    <n v="1097.24"/>
    <n v="0.1"/>
    <n v="109.724"/>
    <n v="987.51599999999996"/>
    <s v="Mary Knight"/>
    <x v="0"/>
    <x v="11"/>
    <x v="0"/>
    <x v="3"/>
  </r>
  <r>
    <x v="53"/>
    <s v="Jodi"/>
    <s v="Whitney"/>
    <n v="33"/>
    <x v="2"/>
    <x v="6"/>
    <s v="jodi.whitney@yahoo.com"/>
    <s v="72876 Lara Key Suite 383, Gutierrezton, OR 71683"/>
    <s v="OID6945"/>
    <x v="279"/>
    <s v="19:37:21"/>
    <x v="39"/>
    <n v="403.03"/>
    <n v="4"/>
    <x v="4"/>
    <n v="7"/>
    <n v="65"/>
    <d v="2024-09-21T00:00:00"/>
    <x v="359"/>
    <n v="3"/>
    <n v="1612.12"/>
    <n v="1677.12"/>
    <n v="0.1"/>
    <n v="167.71199999999999"/>
    <n v="1509.4079999999999"/>
    <s v="Jodi Whitney"/>
    <x v="0"/>
    <x v="4"/>
    <x v="0"/>
    <x v="3"/>
  </r>
  <r>
    <x v="60"/>
    <s v="Christy"/>
    <s v="Chang"/>
    <n v="38"/>
    <x v="1"/>
    <x v="7"/>
    <s v="christy.chang@outlook.com"/>
    <s v="4647 Hannah Centers, Rhodesburgh, NH 89363"/>
    <s v="OID6794"/>
    <x v="280"/>
    <s v="15:34:31"/>
    <x v="7"/>
    <n v="48.45"/>
    <n v="1"/>
    <x v="4"/>
    <n v="2"/>
    <n v="41"/>
    <d v="2023-05-16T00:00:00"/>
    <x v="360"/>
    <n v="3"/>
    <n v="48.45"/>
    <n v="89.45"/>
    <n v="0.1"/>
    <n v="8.9450000000000003"/>
    <n v="80.504999999999995"/>
    <s v="Christy Chang"/>
    <x v="1"/>
    <x v="2"/>
    <x v="2"/>
    <x v="0"/>
  </r>
  <r>
    <x v="61"/>
    <s v="Troy"/>
    <s v="Gomez"/>
    <n v="68"/>
    <x v="0"/>
    <x v="7"/>
    <s v="troy.gomez@outlook.com"/>
    <s v="7510 Jose Knolls, Candicechester, LA 62815"/>
    <s v="OID2412"/>
    <x v="281"/>
    <s v="14:35:45"/>
    <x v="29"/>
    <n v="44.5"/>
    <n v="5"/>
    <x v="4"/>
    <n v="4"/>
    <n v="55"/>
    <d v="2023-03-27T00:00:00"/>
    <x v="361"/>
    <n v="5"/>
    <n v="222.5"/>
    <n v="277.5"/>
    <n v="0.1"/>
    <n v="27.75"/>
    <n v="249.75"/>
    <s v="Troy Gomez"/>
    <x v="1"/>
    <x v="0"/>
    <x v="2"/>
    <x v="0"/>
  </r>
  <r>
    <x v="92"/>
    <s v="Lauren"/>
    <s v="Crane"/>
    <n v="62"/>
    <x v="1"/>
    <x v="1"/>
    <s v="lauren.crane@yahoo.com"/>
    <s v="30313 Reyes Parkways Suite 392, Port Bradley, SC 24078"/>
    <s v="OID8162"/>
    <x v="282"/>
    <s v="07:24:54"/>
    <x v="19"/>
    <n v="128.13999999999999"/>
    <n v="5"/>
    <x v="3"/>
    <n v="7"/>
    <n v="68"/>
    <d v="2025-01-28T00:00:00"/>
    <x v="362"/>
    <n v="7"/>
    <n v="640.69999999999993"/>
    <n v="708.69999999999993"/>
    <n v="0.2"/>
    <n v="141.73999999999998"/>
    <n v="566.95999999999992"/>
    <s v="Lauren Crane"/>
    <x v="2"/>
    <x v="5"/>
    <x v="1"/>
    <x v="3"/>
  </r>
  <r>
    <x v="67"/>
    <s v="Barbara"/>
    <s v="Fuller"/>
    <n v="43"/>
    <x v="2"/>
    <x v="5"/>
    <s v="barbara.fuller@rediffmail.com"/>
    <s v="134 Mcintosh Unions Suite 574, Lake Laura, DE 96577"/>
    <s v="OID8860"/>
    <x v="283"/>
    <s v="06:00:55"/>
    <x v="30"/>
    <n v="369.03"/>
    <n v="2"/>
    <x v="4"/>
    <n v="6"/>
    <n v="55"/>
    <d v="2023-02-24T00:00:00"/>
    <x v="363"/>
    <n v="3"/>
    <n v="738.06"/>
    <n v="793.06"/>
    <n v="0.1"/>
    <n v="79.305999999999997"/>
    <n v="713.75399999999991"/>
    <s v="Barbara Fuller"/>
    <x v="0"/>
    <x v="1"/>
    <x v="2"/>
    <x v="1"/>
  </r>
  <r>
    <x v="84"/>
    <s v="Hannah"/>
    <s v="Gutierrez"/>
    <n v="55"/>
    <x v="1"/>
    <x v="5"/>
    <s v="hannah.gutierrez@yahoo.com"/>
    <s v="2420 David Manors, Jessicaland, CT 41698"/>
    <s v="OID2523"/>
    <x v="284"/>
    <s v="05:46:53"/>
    <x v="8"/>
    <n v="257.06"/>
    <n v="1"/>
    <x v="3"/>
    <n v="4"/>
    <n v="42"/>
    <d v="2024-05-11T00:00:00"/>
    <x v="364"/>
    <n v="2"/>
    <n v="257.06"/>
    <n v="299.06"/>
    <n v="0.2"/>
    <n v="59.812000000000005"/>
    <n v="239.24799999999999"/>
    <s v="Hannah Gutierrez"/>
    <x v="0"/>
    <x v="2"/>
    <x v="0"/>
    <x v="3"/>
  </r>
  <r>
    <x v="17"/>
    <s v="Deborah"/>
    <s v="Bates"/>
    <n v="23"/>
    <x v="0"/>
    <x v="3"/>
    <s v="deborah.bates@yahoo.com"/>
    <s v="278 Kathy Estate, Saraville, OH 77292"/>
    <s v="OID7382"/>
    <x v="285"/>
    <s v="08:34:53"/>
    <x v="47"/>
    <n v="292.14999999999998"/>
    <n v="3"/>
    <x v="2"/>
    <n v="3"/>
    <n v="51"/>
    <d v="2023-10-28T00:00:00"/>
    <x v="365"/>
    <n v="2"/>
    <n v="876.44999999999993"/>
    <n v="927.44999999999993"/>
    <n v="0"/>
    <n v="0"/>
    <n v="927.44999999999993"/>
    <s v="Deborah Bates"/>
    <x v="0"/>
    <x v="8"/>
    <x v="2"/>
    <x v="3"/>
  </r>
  <r>
    <x v="85"/>
    <s v="Angela"/>
    <s v="Casey"/>
    <n v="40"/>
    <x v="0"/>
    <x v="2"/>
    <s v="angela.casey@gmail.com"/>
    <s v="089 Farley Terrace, Thomashaven, MT 56607"/>
    <s v="OID7593"/>
    <x v="37"/>
    <s v="15:18:11"/>
    <x v="18"/>
    <n v="282.63"/>
    <n v="2"/>
    <x v="1"/>
    <n v="6"/>
    <n v="62"/>
    <d v="2023-09-25T00:00:00"/>
    <x v="366"/>
    <n v="1"/>
    <n v="565.26"/>
    <n v="627.26"/>
    <n v="0.15"/>
    <n v="94.088999999999999"/>
    <n v="533.17100000000005"/>
    <s v="Angela Casey"/>
    <x v="0"/>
    <x v="4"/>
    <x v="2"/>
    <x v="2"/>
  </r>
  <r>
    <x v="13"/>
    <s v="Erin"/>
    <s v="Miller"/>
    <n v="46"/>
    <x v="0"/>
    <x v="6"/>
    <s v="erin.miller@gmail.com"/>
    <s v="65972 Peterson Route, Port Andrewfurt, SD 32892"/>
    <s v="OID9980"/>
    <x v="286"/>
    <s v="11:00:03"/>
    <x v="12"/>
    <n v="272.51"/>
    <n v="3"/>
    <x v="0"/>
    <n v="5"/>
    <n v="66"/>
    <d v="2024-07-06T00:00:00"/>
    <x v="367"/>
    <n v="6"/>
    <n v="817.53"/>
    <n v="883.53"/>
    <n v="0.08"/>
    <n v="70.682400000000001"/>
    <n v="812.84759999999994"/>
    <s v="Erin Miller"/>
    <x v="1"/>
    <x v="6"/>
    <x v="0"/>
    <x v="2"/>
  </r>
  <r>
    <x v="39"/>
    <s v="Amanda"/>
    <s v="Howard"/>
    <n v="52"/>
    <x v="2"/>
    <x v="7"/>
    <s v="amanda.howard@outlook.com"/>
    <s v="56908 Sydney Park Suite 632, West Anthonyport, NC 15954"/>
    <s v="OID2440"/>
    <x v="287"/>
    <s v="08:26:50"/>
    <x v="4"/>
    <n v="330.11"/>
    <n v="2"/>
    <x v="2"/>
    <n v="3"/>
    <n v="55"/>
    <d v="2023-02-19T00:00:00"/>
    <x v="368"/>
    <n v="1"/>
    <n v="660.22"/>
    <n v="715.22"/>
    <n v="0"/>
    <n v="0"/>
    <n v="715.22"/>
    <s v="Amanda Howard"/>
    <x v="0"/>
    <x v="1"/>
    <x v="2"/>
    <x v="0"/>
  </r>
  <r>
    <x v="12"/>
    <s v="Joshua"/>
    <s v="Campbell"/>
    <n v="24"/>
    <x v="0"/>
    <x v="5"/>
    <s v="joshua.campbell@gmail.com"/>
    <s v="70426 Lindsey Overpass Apt. 030, Jessicafurt, AR 46269"/>
    <s v="OID7256"/>
    <x v="288"/>
    <s v="00:24:43"/>
    <x v="16"/>
    <n v="132.97"/>
    <n v="2"/>
    <x v="1"/>
    <n v="4"/>
    <n v="40"/>
    <d v="2024-07-14T00:00:00"/>
    <x v="369"/>
    <n v="2"/>
    <n v="265.94"/>
    <n v="305.94"/>
    <n v="0.15"/>
    <n v="45.890999999999998"/>
    <n v="260.04899999999998"/>
    <s v="Joshua Campbell"/>
    <x v="0"/>
    <x v="9"/>
    <x v="0"/>
    <x v="2"/>
  </r>
  <r>
    <x v="52"/>
    <s v="Brandon"/>
    <s v="Cruz"/>
    <n v="32"/>
    <x v="2"/>
    <x v="3"/>
    <s v="brandon.cruz@gmail.com"/>
    <s v="9296 Villanueva Branch, East Kevin, CO 93912"/>
    <s v="OID6854"/>
    <x v="289"/>
    <s v="10:05:03"/>
    <x v="32"/>
    <n v="87.09"/>
    <n v="2"/>
    <x v="2"/>
    <n v="4"/>
    <n v="67"/>
    <d v="2023-03-25T00:00:00"/>
    <x v="370"/>
    <n v="4"/>
    <n v="174.18"/>
    <n v="241.18"/>
    <n v="0"/>
    <n v="0"/>
    <n v="241.18"/>
    <s v="Brandon Cruz"/>
    <x v="2"/>
    <x v="0"/>
    <x v="2"/>
    <x v="2"/>
  </r>
  <r>
    <x v="30"/>
    <s v="Julie"/>
    <s v="Meyer"/>
    <n v="23"/>
    <x v="0"/>
    <x v="0"/>
    <s v="julie.meyer@yahoo.com"/>
    <s v="17381 Smith Ramp Suite 398, Courtneyville, AL 17756"/>
    <s v="OID9600"/>
    <x v="290"/>
    <s v="04:19:31"/>
    <x v="48"/>
    <n v="107.47"/>
    <n v="5"/>
    <x v="0"/>
    <n v="4"/>
    <n v="37"/>
    <d v="2024-12-02T00:00:00"/>
    <x v="371"/>
    <n v="6"/>
    <n v="537.35"/>
    <n v="574.35"/>
    <n v="0.08"/>
    <n v="45.948"/>
    <n v="528.40200000000004"/>
    <s v="Julie Meyer"/>
    <x v="1"/>
    <x v="11"/>
    <x v="0"/>
    <x v="3"/>
  </r>
  <r>
    <x v="66"/>
    <s v="Melissa"/>
    <s v="Levy"/>
    <n v="30"/>
    <x v="0"/>
    <x v="5"/>
    <s v="melissa.levy@rediffmail.com"/>
    <s v="3303 Kennedy Springs Suite 830, East Amybury, MI 95595"/>
    <s v="OID3186"/>
    <x v="198"/>
    <s v="17:14:37"/>
    <x v="48"/>
    <n v="107.47"/>
    <n v="5"/>
    <x v="4"/>
    <n v="4"/>
    <n v="47"/>
    <d v="2024-05-12T00:00:00"/>
    <x v="372"/>
    <n v="7"/>
    <n v="537.35"/>
    <n v="584.35"/>
    <n v="0.1"/>
    <n v="58.435000000000002"/>
    <n v="525.91499999999996"/>
    <s v="Melissa Levy"/>
    <x v="1"/>
    <x v="2"/>
    <x v="0"/>
    <x v="1"/>
  </r>
  <r>
    <x v="59"/>
    <s v="Beth"/>
    <s v="Mason"/>
    <n v="45"/>
    <x v="2"/>
    <x v="3"/>
    <s v="beth.mason@outlook.com"/>
    <s v="58998 Sherry Haven, East Richard, FL 90775"/>
    <s v="OID1420"/>
    <x v="291"/>
    <s v="18:45:41"/>
    <x v="37"/>
    <n v="133.62"/>
    <n v="1"/>
    <x v="1"/>
    <n v="5"/>
    <n v="39"/>
    <d v="2024-06-08T00:00:00"/>
    <x v="373"/>
    <n v="5"/>
    <n v="133.62"/>
    <n v="172.62"/>
    <n v="0.15"/>
    <n v="25.893000000000001"/>
    <n v="146.727"/>
    <s v="Beth Mason"/>
    <x v="2"/>
    <x v="6"/>
    <x v="0"/>
    <x v="0"/>
  </r>
  <r>
    <x v="40"/>
    <s v="Mary"/>
    <s v="Knight"/>
    <n v="28"/>
    <x v="2"/>
    <x v="2"/>
    <s v="mary.knight@yahoo.com"/>
    <s v="907 Kimberly Hill, Murrayfort, NH 88384"/>
    <s v="OID4436"/>
    <x v="292"/>
    <s v="23:43:28"/>
    <x v="6"/>
    <n v="275.44"/>
    <n v="2"/>
    <x v="3"/>
    <n v="3"/>
    <n v="43"/>
    <d v="2023-11-21T00:00:00"/>
    <x v="374"/>
    <n v="4"/>
    <n v="550.88"/>
    <n v="593.88"/>
    <n v="0.2"/>
    <n v="118.77600000000001"/>
    <n v="475.10399999999998"/>
    <s v="Mary Knight"/>
    <x v="1"/>
    <x v="11"/>
    <x v="2"/>
    <x v="3"/>
  </r>
  <r>
    <x v="75"/>
    <s v="Rachael"/>
    <s v="Robinson"/>
    <n v="24"/>
    <x v="2"/>
    <x v="7"/>
    <s v="rachael.robinson@rediffmail.com"/>
    <s v="0889 Brady Points, Port Meganhaven, NM 26553"/>
    <s v="OID6410"/>
    <x v="96"/>
    <s v="06:38:04"/>
    <x v="4"/>
    <n v="330.11"/>
    <n v="3"/>
    <x v="1"/>
    <n v="2"/>
    <n v="56"/>
    <d v="2023-07-10T00:00:00"/>
    <x v="375"/>
    <n v="4"/>
    <n v="990.33"/>
    <n v="1046.33"/>
    <n v="0.15"/>
    <n v="156.94949999999997"/>
    <n v="889.38049999999998"/>
    <s v="Rachael Robinson"/>
    <x v="1"/>
    <x v="9"/>
    <x v="2"/>
    <x v="1"/>
  </r>
  <r>
    <x v="40"/>
    <s v="Mary"/>
    <s v="Knight"/>
    <n v="28"/>
    <x v="2"/>
    <x v="2"/>
    <s v="mary.knight@yahoo.com"/>
    <s v="907 Kimberly Hill, Murrayfort, NH 88384"/>
    <s v="OID4538"/>
    <x v="85"/>
    <s v="12:27:25"/>
    <x v="12"/>
    <n v="272.51"/>
    <n v="3"/>
    <x v="0"/>
    <n v="6"/>
    <n v="44"/>
    <d v="2024-01-19T00:00:00"/>
    <x v="376"/>
    <n v="3"/>
    <n v="817.53"/>
    <n v="861.53"/>
    <n v="0.08"/>
    <n v="68.922399999999996"/>
    <n v="792.60759999999993"/>
    <s v="Mary Knight"/>
    <x v="0"/>
    <x v="5"/>
    <x v="0"/>
    <x v="3"/>
  </r>
  <r>
    <x v="63"/>
    <s v="Gregory"/>
    <s v="Lee"/>
    <n v="26"/>
    <x v="2"/>
    <x v="2"/>
    <s v="gregory.lee@rediffmail.com"/>
    <s v="619 Parker Turnpike Apt. 025, West Brucehaven, ID 48437"/>
    <s v="OID8225"/>
    <x v="293"/>
    <s v="10:41:43"/>
    <x v="9"/>
    <n v="175.93"/>
    <n v="4"/>
    <x v="3"/>
    <n v="6"/>
    <n v="54"/>
    <d v="2023-11-10T00:00:00"/>
    <x v="377"/>
    <n v="2"/>
    <n v="703.72"/>
    <n v="757.72"/>
    <n v="0.2"/>
    <n v="151.54400000000001"/>
    <n v="606.17600000000004"/>
    <s v="Gregory Lee"/>
    <x v="0"/>
    <x v="11"/>
    <x v="2"/>
    <x v="1"/>
  </r>
  <r>
    <x v="92"/>
    <s v="Lauren"/>
    <s v="Crane"/>
    <n v="62"/>
    <x v="1"/>
    <x v="1"/>
    <s v="lauren.crane@yahoo.com"/>
    <s v="30313 Reyes Parkways Suite 392, Port Bradley, SC 24078"/>
    <s v="OID2099"/>
    <x v="7"/>
    <s v="09:19:53"/>
    <x v="30"/>
    <n v="369.03"/>
    <n v="3"/>
    <x v="0"/>
    <n v="6"/>
    <n v="57"/>
    <d v="2024-06-18T00:00:00"/>
    <x v="378"/>
    <n v="2"/>
    <n v="1107.0899999999999"/>
    <n v="1164.0899999999999"/>
    <n v="0.08"/>
    <n v="93.127200000000002"/>
    <n v="1070.9628"/>
    <s v="Lauren Crane"/>
    <x v="0"/>
    <x v="6"/>
    <x v="0"/>
    <x v="3"/>
  </r>
  <r>
    <x v="89"/>
    <s v="Sarah"/>
    <s v="Benson"/>
    <n v="40"/>
    <x v="2"/>
    <x v="7"/>
    <s v="sarah.benson@outlook.com"/>
    <s v="5399 Hayes Well, West Pennystad, IL 93798"/>
    <s v="OID9222"/>
    <x v="8"/>
    <s v="11:38:36"/>
    <x v="26"/>
    <n v="372.62"/>
    <n v="2"/>
    <x v="3"/>
    <n v="2"/>
    <n v="47"/>
    <d v="2023-04-25T00:00:00"/>
    <x v="379"/>
    <n v="1"/>
    <n v="745.24"/>
    <n v="792.24"/>
    <n v="0.2"/>
    <n v="158.44800000000001"/>
    <n v="633.79200000000003"/>
    <s v="Sarah Benson"/>
    <x v="0"/>
    <x v="3"/>
    <x v="2"/>
    <x v="0"/>
  </r>
  <r>
    <x v="31"/>
    <s v="Donna"/>
    <s v="Oneill"/>
    <n v="70"/>
    <x v="0"/>
    <x v="6"/>
    <s v="donna.oneill@yahoo.com"/>
    <s v="464 Carolyn Crest Suite 738, Lake Isaiah, CA 66153"/>
    <s v="OID3523"/>
    <x v="294"/>
    <s v="10:33:52"/>
    <x v="29"/>
    <n v="44.5"/>
    <n v="1"/>
    <x v="2"/>
    <n v="1"/>
    <n v="37"/>
    <d v="2023-12-17T00:00:00"/>
    <x v="380"/>
    <n v="7"/>
    <n v="44.5"/>
    <n v="81.5"/>
    <n v="0"/>
    <n v="0"/>
    <n v="81.5"/>
    <s v="Donna Oneill"/>
    <x v="1"/>
    <x v="7"/>
    <x v="2"/>
    <x v="3"/>
  </r>
  <r>
    <x v="45"/>
    <s v="Debra"/>
    <s v="Hayes"/>
    <n v="33"/>
    <x v="0"/>
    <x v="6"/>
    <s v="debra.hayes@yahoo.com"/>
    <s v="4601 Miller Lock, Williamsbury, IA 10943"/>
    <s v="OID3834"/>
    <x v="166"/>
    <s v="22:42:39"/>
    <x v="21"/>
    <n v="157.63999999999999"/>
    <n v="1"/>
    <x v="4"/>
    <n v="7"/>
    <n v="48"/>
    <d v="2023-05-21T00:00:00"/>
    <x v="381"/>
    <n v="7"/>
    <n v="157.63999999999999"/>
    <n v="205.64"/>
    <n v="0.1"/>
    <n v="20.564"/>
    <n v="185.07599999999999"/>
    <s v="Debra Hayes"/>
    <x v="2"/>
    <x v="2"/>
    <x v="2"/>
    <x v="3"/>
  </r>
  <r>
    <x v="16"/>
    <s v="Traci"/>
    <s v="Jones"/>
    <n v="34"/>
    <x v="0"/>
    <x v="3"/>
    <s v="traci.jones@yahoo.com"/>
    <s v="4016 Ryan Passage, Collinsside, PA 88777"/>
    <s v="OID9975"/>
    <x v="295"/>
    <s v="09:31:29"/>
    <x v="14"/>
    <n v="20.7"/>
    <n v="3"/>
    <x v="0"/>
    <n v="5"/>
    <n v="46"/>
    <d v="2023-11-15T00:00:00"/>
    <x v="382"/>
    <n v="2"/>
    <n v="62.099999999999994"/>
    <n v="108.1"/>
    <n v="0.08"/>
    <n v="8.6479999999999997"/>
    <n v="99.451999999999998"/>
    <s v="Traci Jones"/>
    <x v="0"/>
    <x v="11"/>
    <x v="2"/>
    <x v="3"/>
  </r>
  <r>
    <x v="58"/>
    <s v="Amy"/>
    <s v="Ellis"/>
    <n v="44"/>
    <x v="2"/>
    <x v="3"/>
    <s v="amy.ellis@gmail.com"/>
    <s v="217 Scott Ville, Christophermouth, NH 83776"/>
    <s v="OID6893"/>
    <x v="296"/>
    <s v="09:19:46"/>
    <x v="19"/>
    <n v="128.13999999999999"/>
    <n v="3"/>
    <x v="3"/>
    <n v="2"/>
    <n v="49"/>
    <d v="2023-12-10T00:00:00"/>
    <x v="383"/>
    <n v="6"/>
    <n v="384.41999999999996"/>
    <n v="433.41999999999996"/>
    <n v="0.2"/>
    <n v="86.683999999999997"/>
    <n v="346.73599999999999"/>
    <s v="Amy Ellis"/>
    <x v="1"/>
    <x v="7"/>
    <x v="2"/>
    <x v="2"/>
  </r>
  <r>
    <x v="59"/>
    <s v="Beth"/>
    <s v="Mason"/>
    <n v="45"/>
    <x v="2"/>
    <x v="3"/>
    <s v="beth.mason@outlook.com"/>
    <s v="58998 Sherry Haven, East Richard, FL 90775"/>
    <s v="OID8192"/>
    <x v="297"/>
    <s v="21:14:38"/>
    <x v="21"/>
    <n v="157.63999999999999"/>
    <n v="3"/>
    <x v="0"/>
    <n v="4"/>
    <n v="66"/>
    <d v="2024-04-23T00:00:00"/>
    <x v="293"/>
    <n v="1"/>
    <n v="472.91999999999996"/>
    <n v="538.91999999999996"/>
    <n v="0.08"/>
    <n v="43.113599999999998"/>
    <n v="495.80639999999994"/>
    <s v="Beth Mason"/>
    <x v="0"/>
    <x v="3"/>
    <x v="0"/>
    <x v="0"/>
  </r>
  <r>
    <x v="1"/>
    <s v="Anthony"/>
    <s v="Thomas"/>
    <n v="53"/>
    <x v="1"/>
    <x v="1"/>
    <s v="anthony.thomas@rediffmail.com"/>
    <s v="931 Christopher Ways Suite 833, North Michelle, IN 53484"/>
    <s v="OID7904"/>
    <x v="298"/>
    <s v="15:58:53"/>
    <x v="26"/>
    <n v="372.62"/>
    <n v="1"/>
    <x v="4"/>
    <n v="1"/>
    <n v="66"/>
    <d v="2024-06-28T00:00:00"/>
    <x v="384"/>
    <n v="2"/>
    <n v="372.62"/>
    <n v="438.62"/>
    <n v="0.1"/>
    <n v="43.862000000000002"/>
    <n v="394.75799999999998"/>
    <s v="Anthony Thomas"/>
    <x v="1"/>
    <x v="6"/>
    <x v="0"/>
    <x v="1"/>
  </r>
  <r>
    <x v="92"/>
    <s v="Lauren"/>
    <s v="Crane"/>
    <n v="62"/>
    <x v="1"/>
    <x v="1"/>
    <s v="lauren.crane@yahoo.com"/>
    <s v="30313 Reyes Parkways Suite 392, Port Bradley, SC 24078"/>
    <s v="OID5999"/>
    <x v="299"/>
    <s v="17:44:01"/>
    <x v="5"/>
    <n v="363.64"/>
    <n v="4"/>
    <x v="2"/>
    <n v="6"/>
    <n v="56"/>
    <d v="2023-07-14T00:00:00"/>
    <x v="385"/>
    <n v="5"/>
    <n v="1454.56"/>
    <n v="1510.56"/>
    <n v="0"/>
    <n v="0"/>
    <n v="1510.56"/>
    <s v="Lauren Crane"/>
    <x v="0"/>
    <x v="9"/>
    <x v="2"/>
    <x v="3"/>
  </r>
  <r>
    <x v="21"/>
    <s v="Angela"/>
    <s v="Evans"/>
    <n v="52"/>
    <x v="2"/>
    <x v="1"/>
    <s v="angela.evans@outlook.com"/>
    <s v="16031 David Mountain Suite 431, Susanborough, PA 01910"/>
    <s v="OID7409"/>
    <x v="103"/>
    <s v="02:54:23"/>
    <x v="31"/>
    <n v="286.07"/>
    <n v="5"/>
    <x v="2"/>
    <n v="1"/>
    <n v="41"/>
    <d v="2024-04-22T00:00:00"/>
    <x v="386"/>
    <n v="7"/>
    <n v="1430.35"/>
    <n v="1471.35"/>
    <n v="0"/>
    <n v="0"/>
    <n v="1471.35"/>
    <s v="Angela Evans"/>
    <x v="1"/>
    <x v="3"/>
    <x v="0"/>
    <x v="0"/>
  </r>
  <r>
    <x v="53"/>
    <s v="Jodi"/>
    <s v="Whitney"/>
    <n v="33"/>
    <x v="2"/>
    <x v="6"/>
    <s v="jodi.whitney@yahoo.com"/>
    <s v="72876 Lara Key Suite 383, Gutierrezton, OR 71683"/>
    <s v="OID8708"/>
    <x v="300"/>
    <s v="07:05:11"/>
    <x v="18"/>
    <n v="282.63"/>
    <n v="3"/>
    <x v="2"/>
    <n v="4"/>
    <n v="66"/>
    <d v="2024-01-16T00:00:00"/>
    <x v="387"/>
    <n v="5"/>
    <n v="847.89"/>
    <n v="913.89"/>
    <n v="0"/>
    <n v="0"/>
    <n v="913.89"/>
    <s v="Jodi Whitney"/>
    <x v="1"/>
    <x v="5"/>
    <x v="0"/>
    <x v="3"/>
  </r>
  <r>
    <x v="90"/>
    <s v="Lauren"/>
    <s v="Lane"/>
    <n v="30"/>
    <x v="0"/>
    <x v="7"/>
    <s v="lauren.lane@gmail.com"/>
    <s v="56985 Sergio Extensions, Port Albert, CO 02898"/>
    <s v="OID5745"/>
    <x v="301"/>
    <s v="02:16:10"/>
    <x v="26"/>
    <n v="372.62"/>
    <n v="5"/>
    <x v="0"/>
    <n v="4"/>
    <n v="66"/>
    <d v="2024-03-13T00:00:00"/>
    <x v="388"/>
    <n v="3"/>
    <n v="1863.1"/>
    <n v="1929.1"/>
    <n v="0.08"/>
    <n v="154.328"/>
    <n v="1774.7719999999999"/>
    <s v="Lauren Lane"/>
    <x v="0"/>
    <x v="0"/>
    <x v="0"/>
    <x v="2"/>
  </r>
  <r>
    <x v="14"/>
    <s v="Gina"/>
    <s v="Moreno"/>
    <n v="36"/>
    <x v="2"/>
    <x v="4"/>
    <s v="gina.moreno@rediffmail.com"/>
    <s v="USS Murray, FPO AP 66559"/>
    <s v="OID9178"/>
    <x v="302"/>
    <s v="18:34:02"/>
    <x v="43"/>
    <n v="424.82"/>
    <n v="4"/>
    <x v="4"/>
    <n v="5"/>
    <n v="58"/>
    <d v="2023-06-21T00:00:00"/>
    <x v="389"/>
    <n v="7"/>
    <n v="1699.28"/>
    <n v="1757.28"/>
    <n v="0.1"/>
    <n v="175.72800000000001"/>
    <n v="1581.5519999999999"/>
    <s v="Gina Moreno"/>
    <x v="1"/>
    <x v="6"/>
    <x v="2"/>
    <x v="1"/>
  </r>
  <r>
    <x v="37"/>
    <s v="Alexandra"/>
    <s v="Smith"/>
    <n v="70"/>
    <x v="0"/>
    <x v="0"/>
    <s v="alexandra.smith@rediffmail.com"/>
    <s v="48611 Clark Village, West Anne, GA 92865"/>
    <s v="OID2529"/>
    <x v="303"/>
    <s v="14:35:39"/>
    <x v="33"/>
    <n v="421.7"/>
    <n v="3"/>
    <x v="2"/>
    <n v="3"/>
    <n v="56"/>
    <d v="2023-09-08T00:00:00"/>
    <x v="390"/>
    <n v="5"/>
    <n v="1265.0999999999999"/>
    <n v="1321.1"/>
    <n v="0"/>
    <n v="0"/>
    <n v="1321.1"/>
    <s v="Alexandra Smith"/>
    <x v="1"/>
    <x v="4"/>
    <x v="2"/>
    <x v="1"/>
  </r>
  <r>
    <x v="64"/>
    <s v="Bruce"/>
    <s v="Allen"/>
    <n v="32"/>
    <x v="1"/>
    <x v="0"/>
    <s v="bruce.allen@rediffmail.com"/>
    <s v="2417 Brown Ford, West Timothyside, RI 45629"/>
    <s v="OID3125"/>
    <x v="161"/>
    <s v="02:52:20"/>
    <x v="47"/>
    <n v="292.14999999999998"/>
    <n v="2"/>
    <x v="1"/>
    <n v="6"/>
    <n v="60"/>
    <d v="2024-02-26T00:00:00"/>
    <x v="391"/>
    <n v="5"/>
    <n v="584.29999999999995"/>
    <n v="644.29999999999995"/>
    <n v="0.15"/>
    <n v="96.644999999999996"/>
    <n v="547.65499999999997"/>
    <s v="Bruce Allen"/>
    <x v="0"/>
    <x v="1"/>
    <x v="0"/>
    <x v="1"/>
  </r>
  <r>
    <x v="19"/>
    <s v="Mark"/>
    <s v="Henderson"/>
    <n v="33"/>
    <x v="2"/>
    <x v="7"/>
    <s v="mark.henderson@yahoo.com"/>
    <s v="90155 Hines Spring, North Theresafurt, ME 31920"/>
    <s v="OID4011"/>
    <x v="304"/>
    <s v="10:33:07"/>
    <x v="26"/>
    <n v="372.62"/>
    <n v="1"/>
    <x v="1"/>
    <n v="5"/>
    <n v="50"/>
    <d v="2025-01-04T00:00:00"/>
    <x v="392"/>
    <n v="4"/>
    <n v="372.62"/>
    <n v="422.62"/>
    <n v="0.15"/>
    <n v="63.393000000000001"/>
    <n v="359.22699999999998"/>
    <s v="Mark Henderson"/>
    <x v="0"/>
    <x v="7"/>
    <x v="0"/>
    <x v="3"/>
  </r>
  <r>
    <x v="92"/>
    <s v="Lauren"/>
    <s v="Crane"/>
    <n v="62"/>
    <x v="1"/>
    <x v="1"/>
    <s v="lauren.crane@yahoo.com"/>
    <s v="30313 Reyes Parkways Suite 392, Port Bradley, SC 24078"/>
    <s v="OID1592"/>
    <x v="305"/>
    <s v="01:25:50"/>
    <x v="7"/>
    <n v="48.45"/>
    <n v="3"/>
    <x v="1"/>
    <n v="5"/>
    <n v="42"/>
    <d v="2024-02-25T00:00:00"/>
    <x v="393"/>
    <n v="7"/>
    <n v="145.35000000000002"/>
    <n v="187.35000000000002"/>
    <n v="0.15"/>
    <n v="28.102500000000003"/>
    <n v="159.24750000000003"/>
    <s v="Lauren Crane"/>
    <x v="1"/>
    <x v="1"/>
    <x v="0"/>
    <x v="3"/>
  </r>
  <r>
    <x v="60"/>
    <s v="Christy"/>
    <s v="Chang"/>
    <n v="38"/>
    <x v="1"/>
    <x v="7"/>
    <s v="christy.chang@outlook.com"/>
    <s v="4647 Hannah Centers, Rhodesburgh, NH 89363"/>
    <s v="OID7667"/>
    <x v="51"/>
    <s v="20:10:30"/>
    <x v="10"/>
    <n v="190.1"/>
    <n v="3"/>
    <x v="4"/>
    <n v="3"/>
    <n v="41"/>
    <d v="2024-01-24T00:00:00"/>
    <x v="394"/>
    <n v="3"/>
    <n v="570.29999999999995"/>
    <n v="611.29999999999995"/>
    <n v="0.1"/>
    <n v="61.129999999999995"/>
    <n v="550.16999999999996"/>
    <s v="Christy Chang"/>
    <x v="2"/>
    <x v="5"/>
    <x v="0"/>
    <x v="0"/>
  </r>
  <r>
    <x v="92"/>
    <s v="Lauren"/>
    <s v="Crane"/>
    <n v="62"/>
    <x v="1"/>
    <x v="1"/>
    <s v="lauren.crane@yahoo.com"/>
    <s v="30313 Reyes Parkways Suite 392, Port Bradley, SC 24078"/>
    <s v="OID5182"/>
    <x v="306"/>
    <s v="03:46:35"/>
    <x v="15"/>
    <n v="461.07"/>
    <n v="4"/>
    <x v="1"/>
    <n v="1"/>
    <n v="66"/>
    <d v="2024-02-24T00:00:00"/>
    <x v="395"/>
    <n v="2"/>
    <n v="1844.28"/>
    <n v="1910.28"/>
    <n v="0.15"/>
    <n v="286.54199999999997"/>
    <n v="1623.7380000000001"/>
    <s v="Lauren Crane"/>
    <x v="1"/>
    <x v="1"/>
    <x v="0"/>
    <x v="3"/>
  </r>
  <r>
    <x v="29"/>
    <s v="Courtney"/>
    <s v="Parker"/>
    <n v="29"/>
    <x v="2"/>
    <x v="3"/>
    <s v="courtney.parker@yahoo.com"/>
    <s v="087 Jacqueline Rue Apt. 694, East Tasha, SC 04859"/>
    <s v="OID1833"/>
    <x v="307"/>
    <s v="00:31:47"/>
    <x v="21"/>
    <n v="157.63999999999999"/>
    <n v="5"/>
    <x v="0"/>
    <n v="2"/>
    <n v="46"/>
    <d v="2024-01-10T00:00:00"/>
    <x v="396"/>
    <n v="6"/>
    <n v="788.19999999999993"/>
    <n v="834.19999999999993"/>
    <n v="0.08"/>
    <n v="66.73599999999999"/>
    <n v="767.46399999999994"/>
    <s v="Courtney Parker"/>
    <x v="1"/>
    <x v="5"/>
    <x v="0"/>
    <x v="3"/>
  </r>
  <r>
    <x v="17"/>
    <s v="Deborah"/>
    <s v="Bates"/>
    <n v="23"/>
    <x v="0"/>
    <x v="3"/>
    <s v="deborah.bates@yahoo.com"/>
    <s v="278 Kathy Estate, Saraville, OH 77292"/>
    <s v="OID5190"/>
    <x v="308"/>
    <s v="04:04:19"/>
    <x v="40"/>
    <n v="445.81"/>
    <n v="3"/>
    <x v="0"/>
    <n v="1"/>
    <n v="37"/>
    <d v="2024-07-05T00:00:00"/>
    <x v="397"/>
    <n v="1"/>
    <n v="1337.43"/>
    <n v="1374.43"/>
    <n v="0.08"/>
    <n v="109.95440000000001"/>
    <n v="1264.4756"/>
    <s v="Deborah Bates"/>
    <x v="2"/>
    <x v="9"/>
    <x v="0"/>
    <x v="3"/>
  </r>
  <r>
    <x v="93"/>
    <s v="Katie"/>
    <s v="Hicks"/>
    <n v="34"/>
    <x v="2"/>
    <x v="5"/>
    <s v="katie.hicks@rediffmail.com"/>
    <s v="848 William Port, New Marilyn, SD 58000"/>
    <s v="OID4399"/>
    <x v="309"/>
    <s v="07:13:46"/>
    <x v="24"/>
    <n v="481.48"/>
    <n v="4"/>
    <x v="1"/>
    <n v="4"/>
    <n v="38"/>
    <d v="2024-12-21T00:00:00"/>
    <x v="398"/>
    <n v="1"/>
    <n v="1925.92"/>
    <n v="1963.92"/>
    <n v="0.15"/>
    <n v="294.58800000000002"/>
    <n v="1669.3320000000001"/>
    <s v="Katie Hicks"/>
    <x v="0"/>
    <x v="7"/>
    <x v="0"/>
    <x v="1"/>
  </r>
  <r>
    <x v="36"/>
    <s v="Jason"/>
    <s v="Lopez"/>
    <n v="40"/>
    <x v="2"/>
    <x v="6"/>
    <s v="jason.lopez@outlook.com"/>
    <s v="934 Levine View, Brentport, NE 38210"/>
    <s v="OID8104"/>
    <x v="310"/>
    <s v="21:07:18"/>
    <x v="37"/>
    <n v="133.62"/>
    <n v="1"/>
    <x v="1"/>
    <n v="5"/>
    <n v="66"/>
    <d v="2023-04-21T00:00:00"/>
    <x v="399"/>
    <n v="4"/>
    <n v="133.62"/>
    <n v="199.62"/>
    <n v="0.15"/>
    <n v="29.942999999999998"/>
    <n v="169.67700000000002"/>
    <s v="Jason Lopez"/>
    <x v="0"/>
    <x v="3"/>
    <x v="2"/>
    <x v="0"/>
  </r>
  <r>
    <x v="94"/>
    <s v="Regina"/>
    <s v="Hawkins"/>
    <n v="47"/>
    <x v="1"/>
    <x v="0"/>
    <s v="regina.hawkins@rediffmail.com"/>
    <s v="096 Santos Neck Apt. 937, Benjaminmouth, FL 61454"/>
    <s v="OID1054"/>
    <x v="311"/>
    <s v="13:31:33"/>
    <x v="36"/>
    <n v="425.59"/>
    <n v="3"/>
    <x v="4"/>
    <n v="7"/>
    <n v="51"/>
    <d v="2024-02-08T00:00:00"/>
    <x v="400"/>
    <n v="3"/>
    <n v="1276.77"/>
    <n v="1327.77"/>
    <n v="0.1"/>
    <n v="132.77700000000002"/>
    <n v="1194.9929999999999"/>
    <s v="Regina Hawkins"/>
    <x v="0"/>
    <x v="1"/>
    <x v="0"/>
    <x v="1"/>
  </r>
  <r>
    <x v="92"/>
    <s v="Lauren"/>
    <s v="Crane"/>
    <n v="62"/>
    <x v="1"/>
    <x v="1"/>
    <s v="lauren.crane@yahoo.com"/>
    <s v="30313 Reyes Parkways Suite 392, Port Bradley, SC 24078"/>
    <s v="OID7828"/>
    <x v="312"/>
    <s v="00:57:10"/>
    <x v="38"/>
    <n v="477.52"/>
    <n v="5"/>
    <x v="3"/>
    <n v="2"/>
    <n v="60"/>
    <d v="2024-08-16T00:00:00"/>
    <x v="401"/>
    <n v="3"/>
    <n v="2387.6"/>
    <n v="2447.6"/>
    <n v="0.2"/>
    <n v="489.52"/>
    <n v="1958.08"/>
    <s v="Lauren Crane"/>
    <x v="1"/>
    <x v="10"/>
    <x v="0"/>
    <x v="3"/>
  </r>
  <r>
    <x v="39"/>
    <s v="Amanda"/>
    <s v="Howard"/>
    <n v="52"/>
    <x v="2"/>
    <x v="7"/>
    <s v="amanda.howard@outlook.com"/>
    <s v="56908 Sydney Park Suite 632, West Anthonyport, NC 15954"/>
    <s v="OID5598"/>
    <x v="313"/>
    <s v="00:07:15"/>
    <x v="18"/>
    <n v="282.63"/>
    <n v="3"/>
    <x v="0"/>
    <n v="3"/>
    <n v="36"/>
    <d v="2024-07-05T00:00:00"/>
    <x v="402"/>
    <n v="7"/>
    <n v="847.89"/>
    <n v="883.89"/>
    <n v="0.08"/>
    <n v="70.711200000000005"/>
    <n v="813.17880000000002"/>
    <s v="Amanda Howard"/>
    <x v="1"/>
    <x v="6"/>
    <x v="0"/>
    <x v="0"/>
  </r>
  <r>
    <x v="40"/>
    <s v="Mary"/>
    <s v="Knight"/>
    <n v="28"/>
    <x v="2"/>
    <x v="2"/>
    <s v="mary.knight@yahoo.com"/>
    <s v="907 Kimberly Hill, Murrayfort, NH 88384"/>
    <s v="OID7417"/>
    <x v="314"/>
    <s v="08:47:14"/>
    <x v="21"/>
    <n v="157.63999999999999"/>
    <n v="1"/>
    <x v="3"/>
    <n v="1"/>
    <n v="59"/>
    <d v="2024-03-05T00:00:00"/>
    <x v="403"/>
    <n v="6"/>
    <n v="157.63999999999999"/>
    <n v="216.64"/>
    <n v="0.2"/>
    <n v="43.328000000000003"/>
    <n v="173.31199999999998"/>
    <s v="Mary Knight"/>
    <x v="1"/>
    <x v="1"/>
    <x v="0"/>
    <x v="3"/>
  </r>
  <r>
    <x v="93"/>
    <s v="Katie"/>
    <s v="Hicks"/>
    <n v="34"/>
    <x v="2"/>
    <x v="5"/>
    <s v="katie.hicks@rediffmail.com"/>
    <s v="848 William Port, New Marilyn, SD 58000"/>
    <s v="OID8004"/>
    <x v="315"/>
    <s v="12:05:04"/>
    <x v="7"/>
    <n v="48.45"/>
    <n v="1"/>
    <x v="4"/>
    <n v="5"/>
    <n v="38"/>
    <d v="2024-06-13T00:00:00"/>
    <x v="404"/>
    <n v="7"/>
    <n v="48.45"/>
    <n v="86.45"/>
    <n v="0.1"/>
    <n v="8.6450000000000014"/>
    <n v="77.805000000000007"/>
    <s v="Katie Hicks"/>
    <x v="1"/>
    <x v="6"/>
    <x v="0"/>
    <x v="1"/>
  </r>
  <r>
    <x v="5"/>
    <s v="David"/>
    <s v="Delacruz"/>
    <n v="26"/>
    <x v="1"/>
    <x v="3"/>
    <s v="david.delacruz@rediffmail.com"/>
    <s v="USNS Ray, FPO AE 20238"/>
    <s v="OID7287"/>
    <x v="316"/>
    <s v="05:45:27"/>
    <x v="47"/>
    <n v="292.14999999999998"/>
    <n v="1"/>
    <x v="3"/>
    <n v="5"/>
    <n v="57"/>
    <d v="2024-03-14T00:00:00"/>
    <x v="405"/>
    <n v="6"/>
    <n v="292.14999999999998"/>
    <n v="349.15"/>
    <n v="0.2"/>
    <n v="69.83"/>
    <n v="279.32"/>
    <s v="David Delacruz"/>
    <x v="1"/>
    <x v="0"/>
    <x v="0"/>
    <x v="1"/>
  </r>
  <r>
    <x v="95"/>
    <s v="Rachel"/>
    <s v="Lopez"/>
    <n v="57"/>
    <x v="1"/>
    <x v="3"/>
    <s v="rachel.lopez@outlook.com"/>
    <s v="90435 Bonnie Points Suite 886, Jenniferfurt, WV 20187"/>
    <s v="OID3637"/>
    <x v="317"/>
    <s v="18:27:35"/>
    <x v="46"/>
    <n v="20"/>
    <n v="4"/>
    <x v="3"/>
    <n v="1"/>
    <n v="51"/>
    <d v="2024-02-12T00:00:00"/>
    <x v="406"/>
    <n v="1"/>
    <n v="80"/>
    <n v="131"/>
    <n v="0.2"/>
    <n v="26.200000000000003"/>
    <n v="104.8"/>
    <s v="Rachel Lopez"/>
    <x v="2"/>
    <x v="1"/>
    <x v="0"/>
    <x v="0"/>
  </r>
  <r>
    <x v="74"/>
    <s v="Amy"/>
    <s v="Griffin"/>
    <n v="29"/>
    <x v="0"/>
    <x v="1"/>
    <s v="amy.griffin@rediffmail.com"/>
    <s v="07350 Aaron Meadow Suite 138, Kiaraberg, AL 79545"/>
    <s v="OID2097"/>
    <x v="318"/>
    <s v="08:19:07"/>
    <x v="7"/>
    <n v="48.45"/>
    <n v="2"/>
    <x v="1"/>
    <n v="7"/>
    <n v="56"/>
    <d v="2025-01-30T00:00:00"/>
    <x v="407"/>
    <n v="6"/>
    <n v="96.9"/>
    <n v="152.9"/>
    <n v="0.15"/>
    <n v="22.934999999999999"/>
    <n v="129.965"/>
    <s v="Amy Griffin"/>
    <x v="0"/>
    <x v="5"/>
    <x v="1"/>
    <x v="1"/>
  </r>
  <r>
    <x v="59"/>
    <s v="Beth"/>
    <s v="Mason"/>
    <n v="45"/>
    <x v="2"/>
    <x v="3"/>
    <s v="beth.mason@outlook.com"/>
    <s v="58998 Sherry Haven, East Richard, FL 90775"/>
    <s v="OID3388"/>
    <x v="275"/>
    <s v="01:16:23"/>
    <x v="17"/>
    <n v="126.19"/>
    <n v="2"/>
    <x v="3"/>
    <n v="4"/>
    <n v="67"/>
    <d v="2023-09-27T00:00:00"/>
    <x v="408"/>
    <n v="6"/>
    <n v="252.38"/>
    <n v="319.38"/>
    <n v="0.2"/>
    <n v="63.876000000000005"/>
    <n v="255.50399999999999"/>
    <s v="Beth Mason"/>
    <x v="1"/>
    <x v="4"/>
    <x v="2"/>
    <x v="0"/>
  </r>
  <r>
    <x v="90"/>
    <s v="Lauren"/>
    <s v="Lane"/>
    <n v="30"/>
    <x v="0"/>
    <x v="7"/>
    <s v="lauren.lane@gmail.com"/>
    <s v="56985 Sergio Extensions, Port Albert, CO 02898"/>
    <s v="OID1114"/>
    <x v="210"/>
    <s v="07:59:11"/>
    <x v="17"/>
    <n v="126.19"/>
    <n v="4"/>
    <x v="0"/>
    <n v="5"/>
    <n v="69"/>
    <d v="2024-04-14T00:00:00"/>
    <x v="409"/>
    <n v="3"/>
    <n v="504.76"/>
    <n v="573.76"/>
    <n v="0.08"/>
    <n v="45.900799999999997"/>
    <n v="527.85919999999999"/>
    <s v="Lauren Lane"/>
    <x v="0"/>
    <x v="3"/>
    <x v="0"/>
    <x v="2"/>
  </r>
  <r>
    <x v="26"/>
    <s v="Heather"/>
    <s v="Schneider"/>
    <n v="48"/>
    <x v="1"/>
    <x v="3"/>
    <s v="heather.schneider@outlook.com"/>
    <s v="57940 Susan Creek Apt. 541, Port Aliciamouth, OR 90221"/>
    <s v="OID3556"/>
    <x v="319"/>
    <s v="02:05:06"/>
    <x v="27"/>
    <n v="496.59"/>
    <n v="3"/>
    <x v="2"/>
    <n v="3"/>
    <n v="49"/>
    <d v="2024-04-24T00:00:00"/>
    <x v="410"/>
    <n v="7"/>
    <n v="1489.77"/>
    <n v="1538.77"/>
    <n v="0"/>
    <n v="0"/>
    <n v="1538.77"/>
    <s v="Heather Schneider"/>
    <x v="1"/>
    <x v="3"/>
    <x v="0"/>
    <x v="0"/>
  </r>
  <r>
    <x v="31"/>
    <s v="Donna"/>
    <s v="Oneill"/>
    <n v="70"/>
    <x v="0"/>
    <x v="6"/>
    <s v="donna.oneill@yahoo.com"/>
    <s v="464 Carolyn Crest Suite 738, Lake Isaiah, CA 66153"/>
    <s v="OID9404"/>
    <x v="320"/>
    <s v="08:18:15"/>
    <x v="43"/>
    <n v="424.82"/>
    <n v="4"/>
    <x v="1"/>
    <n v="1"/>
    <n v="70"/>
    <d v="2024-04-20T00:00:00"/>
    <x v="411"/>
    <n v="6"/>
    <n v="1699.28"/>
    <n v="1769.28"/>
    <n v="0.15"/>
    <n v="265.392"/>
    <n v="1503.8879999999999"/>
    <s v="Donna Oneill"/>
    <x v="1"/>
    <x v="3"/>
    <x v="0"/>
    <x v="3"/>
  </r>
  <r>
    <x v="14"/>
    <s v="Gina"/>
    <s v="Moreno"/>
    <n v="36"/>
    <x v="2"/>
    <x v="4"/>
    <s v="gina.moreno@rediffmail.com"/>
    <s v="USS Murray, FPO AP 66559"/>
    <s v="OID4552"/>
    <x v="23"/>
    <s v="12:10:36"/>
    <x v="46"/>
    <n v="20"/>
    <n v="2"/>
    <x v="4"/>
    <n v="1"/>
    <n v="68"/>
    <d v="2023-09-26T00:00:00"/>
    <x v="412"/>
    <n v="1"/>
    <n v="40"/>
    <n v="108"/>
    <n v="0.1"/>
    <n v="10.8"/>
    <n v="97.2"/>
    <s v="Gina Moreno"/>
    <x v="2"/>
    <x v="4"/>
    <x v="2"/>
    <x v="1"/>
  </r>
  <r>
    <x v="94"/>
    <s v="Regina"/>
    <s v="Hawkins"/>
    <n v="47"/>
    <x v="1"/>
    <x v="0"/>
    <s v="regina.hawkins@rediffmail.com"/>
    <s v="096 Santos Neck Apt. 937, Benjaminmouth, FL 61454"/>
    <s v="OID8486"/>
    <x v="321"/>
    <s v="00:38:36"/>
    <x v="2"/>
    <n v="202.54"/>
    <n v="5"/>
    <x v="4"/>
    <n v="4"/>
    <n v="58"/>
    <d v="2023-10-19T00:00:00"/>
    <x v="413"/>
    <n v="2"/>
    <n v="1012.6999999999999"/>
    <n v="1070.6999999999998"/>
    <n v="0.1"/>
    <n v="107.07"/>
    <n v="963.62999999999988"/>
    <s v="Regina Hawkins"/>
    <x v="0"/>
    <x v="8"/>
    <x v="2"/>
    <x v="1"/>
  </r>
  <r>
    <x v="14"/>
    <s v="Gina"/>
    <s v="Moreno"/>
    <n v="36"/>
    <x v="2"/>
    <x v="4"/>
    <s v="gina.moreno@rediffmail.com"/>
    <s v="USS Murray, FPO AP 66559"/>
    <s v="OID4240"/>
    <x v="322"/>
    <s v="02:46:16"/>
    <x v="34"/>
    <n v="136.30000000000001"/>
    <n v="4"/>
    <x v="0"/>
    <n v="6"/>
    <n v="52"/>
    <d v="2024-03-20T00:00:00"/>
    <x v="414"/>
    <n v="3"/>
    <n v="545.20000000000005"/>
    <n v="597.20000000000005"/>
    <n v="0.08"/>
    <n v="47.776000000000003"/>
    <n v="549.42400000000009"/>
    <s v="Gina Moreno"/>
    <x v="0"/>
    <x v="0"/>
    <x v="0"/>
    <x v="1"/>
  </r>
  <r>
    <x v="7"/>
    <s v="Debra"/>
    <s v="Rodriguez"/>
    <n v="48"/>
    <x v="2"/>
    <x v="1"/>
    <s v="debra.rodriguez@rediffmail.com"/>
    <s v="Unit 5964 Box 0721, DPO AP 01840"/>
    <s v="OID3727"/>
    <x v="323"/>
    <s v="21:06:59"/>
    <x v="21"/>
    <n v="157.63999999999999"/>
    <n v="4"/>
    <x v="2"/>
    <n v="7"/>
    <n v="42"/>
    <d v="2025-01-06T00:00:00"/>
    <x v="415"/>
    <n v="2"/>
    <n v="630.55999999999995"/>
    <n v="672.56"/>
    <n v="0"/>
    <n v="0"/>
    <n v="672.56"/>
    <s v="Debra Rodriguez"/>
    <x v="0"/>
    <x v="5"/>
    <x v="1"/>
    <x v="1"/>
  </r>
  <r>
    <x v="49"/>
    <s v="Sarah"/>
    <s v="Butler"/>
    <n v="64"/>
    <x v="0"/>
    <x v="0"/>
    <s v="sarah.butler@rediffmail.com"/>
    <s v="14131 Edwin Shore Apt. 190, Deniseberg, MD 90905"/>
    <s v="OID8955"/>
    <x v="251"/>
    <s v="05:37:55"/>
    <x v="48"/>
    <n v="107.47"/>
    <n v="5"/>
    <x v="3"/>
    <n v="6"/>
    <n v="47"/>
    <d v="2023-08-11T00:00:00"/>
    <x v="416"/>
    <n v="2"/>
    <n v="537.35"/>
    <n v="584.35"/>
    <n v="0.2"/>
    <n v="116.87"/>
    <n v="467.48"/>
    <s v="Sarah Butler"/>
    <x v="0"/>
    <x v="10"/>
    <x v="2"/>
    <x v="1"/>
  </r>
  <r>
    <x v="33"/>
    <s v="Timothy"/>
    <s v="Hicks"/>
    <n v="31"/>
    <x v="2"/>
    <x v="4"/>
    <s v="timothy.hicks@gmail.com"/>
    <s v="140 Tracy Fields, Lake Cynthiaton, TX 57190"/>
    <s v="OID1744"/>
    <x v="324"/>
    <s v="01:03:02"/>
    <x v="19"/>
    <n v="128.13999999999999"/>
    <n v="1"/>
    <x v="2"/>
    <n v="3"/>
    <n v="55"/>
    <d v="2024-12-29T00:00:00"/>
    <x v="417"/>
    <n v="2"/>
    <n v="128.13999999999999"/>
    <n v="183.14"/>
    <n v="0"/>
    <n v="0"/>
    <n v="183.14"/>
    <s v="Timothy Hicks"/>
    <x v="0"/>
    <x v="7"/>
    <x v="0"/>
    <x v="2"/>
  </r>
  <r>
    <x v="53"/>
    <s v="Jodi"/>
    <s v="Whitney"/>
    <n v="33"/>
    <x v="2"/>
    <x v="6"/>
    <s v="jodi.whitney@yahoo.com"/>
    <s v="72876 Lara Key Suite 383, Gutierrezton, OR 71683"/>
    <s v="OID5831"/>
    <x v="218"/>
    <s v="18:12:36"/>
    <x v="36"/>
    <n v="425.59"/>
    <n v="2"/>
    <x v="4"/>
    <n v="4"/>
    <n v="64"/>
    <d v="2024-03-07T00:00:00"/>
    <x v="418"/>
    <n v="7"/>
    <n v="851.18"/>
    <n v="915.18"/>
    <n v="0.1"/>
    <n v="91.518000000000001"/>
    <n v="823.66199999999992"/>
    <s v="Jodi Whitney"/>
    <x v="1"/>
    <x v="1"/>
    <x v="0"/>
    <x v="3"/>
  </r>
  <r>
    <x v="37"/>
    <s v="Alexandra"/>
    <s v="Smith"/>
    <n v="70"/>
    <x v="0"/>
    <x v="0"/>
    <s v="alexandra.smith@rediffmail.com"/>
    <s v="48611 Clark Village, West Anne, GA 92865"/>
    <s v="OID2842"/>
    <x v="290"/>
    <s v="15:52:52"/>
    <x v="49"/>
    <n v="33.49"/>
    <n v="5"/>
    <x v="3"/>
    <n v="5"/>
    <n v="64"/>
    <d v="2024-12-02T00:00:00"/>
    <x v="419"/>
    <n v="6"/>
    <n v="167.45000000000002"/>
    <n v="231.45000000000002"/>
    <n v="0.2"/>
    <n v="46.290000000000006"/>
    <n v="185.16000000000003"/>
    <s v="Alexandra Smith"/>
    <x v="1"/>
    <x v="11"/>
    <x v="0"/>
    <x v="1"/>
  </r>
  <r>
    <x v="21"/>
    <s v="Angela"/>
    <s v="Evans"/>
    <n v="52"/>
    <x v="2"/>
    <x v="1"/>
    <s v="angela.evans@outlook.com"/>
    <s v="16031 David Mountain Suite 431, Susanborough, PA 01910"/>
    <s v="OID1661"/>
    <x v="325"/>
    <s v="11:10:43"/>
    <x v="42"/>
    <n v="235.63"/>
    <n v="1"/>
    <x v="2"/>
    <n v="6"/>
    <n v="35"/>
    <d v="2023-12-12T00:00:00"/>
    <x v="420"/>
    <n v="3"/>
    <n v="235.63"/>
    <n v="270.63"/>
    <n v="0"/>
    <n v="0"/>
    <n v="270.63"/>
    <s v="Angela Evans"/>
    <x v="0"/>
    <x v="7"/>
    <x v="2"/>
    <x v="0"/>
  </r>
  <r>
    <x v="90"/>
    <s v="Lauren"/>
    <s v="Lane"/>
    <n v="30"/>
    <x v="0"/>
    <x v="7"/>
    <s v="lauren.lane@gmail.com"/>
    <s v="56985 Sergio Extensions, Port Albert, CO 02898"/>
    <s v="OID9123"/>
    <x v="326"/>
    <s v="10:50:23"/>
    <x v="46"/>
    <n v="20"/>
    <n v="3"/>
    <x v="4"/>
    <n v="7"/>
    <n v="65"/>
    <d v="2025-02-13T00:00:00"/>
    <x v="421"/>
    <n v="6"/>
    <n v="60"/>
    <n v="125"/>
    <n v="0.1"/>
    <n v="12.5"/>
    <n v="112.5"/>
    <s v="Lauren Lane"/>
    <x v="0"/>
    <x v="1"/>
    <x v="1"/>
    <x v="2"/>
  </r>
  <r>
    <x v="66"/>
    <s v="Melissa"/>
    <s v="Levy"/>
    <n v="30"/>
    <x v="0"/>
    <x v="5"/>
    <s v="melissa.levy@rediffmail.com"/>
    <s v="3303 Kennedy Springs Suite 830, East Amybury, MI 95595"/>
    <s v="OID3981"/>
    <x v="327"/>
    <s v="12:04:15"/>
    <x v="49"/>
    <n v="33.49"/>
    <n v="5"/>
    <x v="3"/>
    <n v="2"/>
    <n v="58"/>
    <d v="2024-10-24T00:00:00"/>
    <x v="422"/>
    <n v="2"/>
    <n v="167.45000000000002"/>
    <n v="225.45000000000002"/>
    <n v="0.2"/>
    <n v="45.09"/>
    <n v="180.36"/>
    <s v="Melissa Levy"/>
    <x v="2"/>
    <x v="8"/>
    <x v="0"/>
    <x v="1"/>
  </r>
  <r>
    <x v="59"/>
    <s v="Beth"/>
    <s v="Mason"/>
    <n v="45"/>
    <x v="2"/>
    <x v="3"/>
    <s v="beth.mason@outlook.com"/>
    <s v="58998 Sherry Haven, East Richard, FL 90775"/>
    <s v="OID6634"/>
    <x v="28"/>
    <s v="02:36:45"/>
    <x v="34"/>
    <n v="136.30000000000001"/>
    <n v="1"/>
    <x v="0"/>
    <n v="4"/>
    <n v="41"/>
    <d v="2023-03-03T00:00:00"/>
    <x v="423"/>
    <n v="1"/>
    <n v="136.30000000000001"/>
    <n v="177.3"/>
    <n v="0.08"/>
    <n v="14.184000000000001"/>
    <n v="163.11600000000001"/>
    <s v="Beth Mason"/>
    <x v="0"/>
    <x v="0"/>
    <x v="2"/>
    <x v="0"/>
  </r>
  <r>
    <x v="96"/>
    <s v="Scott"/>
    <s v="Jones"/>
    <n v="29"/>
    <x v="2"/>
    <x v="3"/>
    <s v="scott.jones@yahoo.com"/>
    <s v="086 Kristin Manor Apt. 829, Marissabury, CT 12152"/>
    <s v="OID9069"/>
    <x v="127"/>
    <s v="02:29:46"/>
    <x v="20"/>
    <n v="62.42"/>
    <n v="1"/>
    <x v="0"/>
    <n v="3"/>
    <n v="48"/>
    <d v="2024-09-07T00:00:00"/>
    <x v="424"/>
    <n v="5"/>
    <n v="62.42"/>
    <n v="110.42"/>
    <n v="0.08"/>
    <n v="8.8336000000000006"/>
    <n v="101.5864"/>
    <s v="Scott Jones"/>
    <x v="1"/>
    <x v="4"/>
    <x v="0"/>
    <x v="3"/>
  </r>
  <r>
    <x v="50"/>
    <s v="Katherine"/>
    <s v="Weber"/>
    <n v="42"/>
    <x v="2"/>
    <x v="2"/>
    <s v="katherine.weber@outlook.com"/>
    <s v="04887 Kimberly Union Apt. 645, Port Laura, IL 97219"/>
    <s v="OID6802"/>
    <x v="309"/>
    <s v="03:00:01"/>
    <x v="36"/>
    <n v="425.59"/>
    <n v="5"/>
    <x v="2"/>
    <n v="5"/>
    <n v="47"/>
    <d v="2024-12-26T00:00:00"/>
    <x v="425"/>
    <n v="6"/>
    <n v="2127.9499999999998"/>
    <n v="2174.9499999999998"/>
    <n v="0"/>
    <n v="0"/>
    <n v="2174.9499999999998"/>
    <s v="Katherine Weber"/>
    <x v="1"/>
    <x v="7"/>
    <x v="0"/>
    <x v="0"/>
  </r>
  <r>
    <x v="16"/>
    <s v="Traci"/>
    <s v="Jones"/>
    <n v="34"/>
    <x v="0"/>
    <x v="3"/>
    <s v="traci.jones@yahoo.com"/>
    <s v="4016 Ryan Passage, Collinsside, PA 88777"/>
    <s v="OID4442"/>
    <x v="86"/>
    <s v="01:12:34"/>
    <x v="48"/>
    <n v="107.47"/>
    <n v="5"/>
    <x v="4"/>
    <n v="5"/>
    <n v="48"/>
    <d v="2024-08-01T00:00:00"/>
    <x v="426"/>
    <n v="1"/>
    <n v="537.35"/>
    <n v="585.35"/>
    <n v="0.1"/>
    <n v="58.535000000000004"/>
    <n v="526.81500000000005"/>
    <s v="Traci Jones"/>
    <x v="0"/>
    <x v="9"/>
    <x v="0"/>
    <x v="3"/>
  </r>
  <r>
    <x v="10"/>
    <s v="Kara"/>
    <s v="Brennan"/>
    <n v="25"/>
    <x v="2"/>
    <x v="4"/>
    <s v="kara.brennan@outlook.com"/>
    <s v="2174 Thomas Avenue, Maciasborough, NJ 41465"/>
    <s v="OID4995"/>
    <x v="183"/>
    <s v="16:46:34"/>
    <x v="21"/>
    <n v="157.63999999999999"/>
    <n v="2"/>
    <x v="2"/>
    <n v="5"/>
    <n v="57"/>
    <d v="2023-12-17T00:00:00"/>
    <x v="427"/>
    <n v="6"/>
    <n v="315.27999999999997"/>
    <n v="372.28"/>
    <n v="0"/>
    <n v="0"/>
    <n v="372.28"/>
    <s v="Kara Brennan"/>
    <x v="1"/>
    <x v="7"/>
    <x v="2"/>
    <x v="0"/>
  </r>
  <r>
    <x v="33"/>
    <s v="Timothy"/>
    <s v="Hicks"/>
    <n v="31"/>
    <x v="2"/>
    <x v="4"/>
    <s v="timothy.hicks@gmail.com"/>
    <s v="140 Tracy Fields, Lake Cynthiaton, TX 57190"/>
    <s v="OID7650"/>
    <x v="328"/>
    <s v="12:40:06"/>
    <x v="36"/>
    <n v="425.59"/>
    <n v="2"/>
    <x v="1"/>
    <n v="1"/>
    <n v="44"/>
    <d v="2024-04-21T00:00:00"/>
    <x v="428"/>
    <n v="5"/>
    <n v="851.18"/>
    <n v="895.18"/>
    <n v="0.15"/>
    <n v="134.27699999999999"/>
    <n v="760.90300000000002"/>
    <s v="Timothy Hicks"/>
    <x v="1"/>
    <x v="3"/>
    <x v="0"/>
    <x v="2"/>
  </r>
  <r>
    <x v="67"/>
    <s v="Barbara"/>
    <s v="Fuller"/>
    <n v="43"/>
    <x v="2"/>
    <x v="5"/>
    <s v="barbara.fuller@rediffmail.com"/>
    <s v="134 Mcintosh Unions Suite 574, Lake Laura, DE 96577"/>
    <s v="OID5555"/>
    <x v="98"/>
    <s v="21:41:18"/>
    <x v="15"/>
    <n v="461.07"/>
    <n v="1"/>
    <x v="0"/>
    <n v="1"/>
    <n v="42"/>
    <d v="2024-05-21T00:00:00"/>
    <x v="429"/>
    <n v="1"/>
    <n v="461.07"/>
    <n v="503.07"/>
    <n v="0.08"/>
    <n v="40.245600000000003"/>
    <n v="462.82439999999997"/>
    <s v="Barbara Fuller"/>
    <x v="2"/>
    <x v="2"/>
    <x v="0"/>
    <x v="1"/>
  </r>
  <r>
    <x v="5"/>
    <s v="David"/>
    <s v="Delacruz"/>
    <n v="26"/>
    <x v="1"/>
    <x v="3"/>
    <s v="david.delacruz@rediffmail.com"/>
    <s v="USNS Ray, FPO AE 20238"/>
    <s v="OID1769"/>
    <x v="315"/>
    <s v="18:51:12"/>
    <x v="42"/>
    <n v="235.63"/>
    <n v="1"/>
    <x v="1"/>
    <n v="3"/>
    <n v="55"/>
    <d v="2024-06-12T00:00:00"/>
    <x v="430"/>
    <n v="6"/>
    <n v="235.63"/>
    <n v="290.63"/>
    <n v="0.15"/>
    <n v="43.594499999999996"/>
    <n v="247.03550000000001"/>
    <s v="David Delacruz"/>
    <x v="1"/>
    <x v="6"/>
    <x v="0"/>
    <x v="1"/>
  </r>
  <r>
    <x v="56"/>
    <s v="Kelli"/>
    <s v="Smith"/>
    <n v="18"/>
    <x v="1"/>
    <x v="1"/>
    <s v="kelli.smith@rediffmail.com"/>
    <s v="788 Kristina Lane, Montoyaside, VA 90756"/>
    <s v="OID2189"/>
    <x v="329"/>
    <s v="16:35:28"/>
    <x v="37"/>
    <n v="133.62"/>
    <n v="2"/>
    <x v="0"/>
    <n v="2"/>
    <n v="48"/>
    <d v="2023-09-15T00:00:00"/>
    <x v="431"/>
    <n v="6"/>
    <n v="267.24"/>
    <n v="315.24"/>
    <n v="0.08"/>
    <n v="25.219200000000001"/>
    <n v="290.02080000000001"/>
    <s v="Kelli Smith"/>
    <x v="1"/>
    <x v="4"/>
    <x v="2"/>
    <x v="1"/>
  </r>
  <r>
    <x v="84"/>
    <s v="Hannah"/>
    <s v="Gutierrez"/>
    <n v="55"/>
    <x v="1"/>
    <x v="5"/>
    <s v="hannah.gutierrez@yahoo.com"/>
    <s v="2420 David Manors, Jessicaland, CT 41698"/>
    <s v="OID9035"/>
    <x v="101"/>
    <s v="15:11:02"/>
    <x v="13"/>
    <n v="104.18"/>
    <n v="1"/>
    <x v="0"/>
    <n v="5"/>
    <n v="37"/>
    <d v="2023-03-22T00:00:00"/>
    <x v="432"/>
    <n v="2"/>
    <n v="104.18"/>
    <n v="141.18"/>
    <n v="0.08"/>
    <n v="11.294400000000001"/>
    <n v="129.88560000000001"/>
    <s v="Hannah Gutierrez"/>
    <x v="0"/>
    <x v="0"/>
    <x v="2"/>
    <x v="3"/>
  </r>
  <r>
    <x v="61"/>
    <s v="Troy"/>
    <s v="Gomez"/>
    <n v="68"/>
    <x v="0"/>
    <x v="7"/>
    <s v="troy.gomez@outlook.com"/>
    <s v="7510 Jose Knolls, Candicechester, LA 62815"/>
    <s v="OID4219"/>
    <x v="330"/>
    <s v="08:03:37"/>
    <x v="5"/>
    <n v="363.64"/>
    <n v="4"/>
    <x v="3"/>
    <n v="2"/>
    <n v="42"/>
    <d v="2024-09-05T00:00:00"/>
    <x v="433"/>
    <n v="4"/>
    <n v="1454.56"/>
    <n v="1496.56"/>
    <n v="0.2"/>
    <n v="299.31200000000001"/>
    <n v="1197.248"/>
    <s v="Troy Gomez"/>
    <x v="1"/>
    <x v="4"/>
    <x v="0"/>
    <x v="0"/>
  </r>
  <r>
    <x v="26"/>
    <s v="Heather"/>
    <s v="Schneider"/>
    <n v="48"/>
    <x v="1"/>
    <x v="3"/>
    <s v="heather.schneider@outlook.com"/>
    <s v="57940 Susan Creek Apt. 541, Port Aliciamouth, OR 90221"/>
    <s v="OID1694"/>
    <x v="331"/>
    <s v="04:43:46"/>
    <x v="11"/>
    <n v="220.27"/>
    <n v="2"/>
    <x v="1"/>
    <n v="7"/>
    <n v="42"/>
    <d v="2024-01-26T00:00:00"/>
    <x v="434"/>
    <n v="7"/>
    <n v="440.54"/>
    <n v="482.54"/>
    <n v="0.15"/>
    <n v="72.381"/>
    <n v="410.15899999999999"/>
    <s v="Heather Schneider"/>
    <x v="2"/>
    <x v="5"/>
    <x v="0"/>
    <x v="0"/>
  </r>
  <r>
    <x v="62"/>
    <s v="Kim"/>
    <s v="Blevins"/>
    <n v="65"/>
    <x v="1"/>
    <x v="3"/>
    <s v="kim.blevins@outlook.com"/>
    <s v="089 Rice Shoal Suite 491, Juarezmouth, MI 88715"/>
    <s v="OID7495"/>
    <x v="332"/>
    <s v="21:09:31"/>
    <x v="49"/>
    <n v="33.49"/>
    <n v="3"/>
    <x v="4"/>
    <n v="1"/>
    <n v="50"/>
    <d v="2023-09-03T00:00:00"/>
    <x v="435"/>
    <n v="5"/>
    <n v="100.47"/>
    <n v="150.47"/>
    <n v="0.1"/>
    <n v="15.047000000000001"/>
    <n v="135.423"/>
    <s v="Kim Blevins"/>
    <x v="1"/>
    <x v="10"/>
    <x v="2"/>
    <x v="0"/>
  </r>
  <r>
    <x v="31"/>
    <s v="Donna"/>
    <s v="Oneill"/>
    <n v="70"/>
    <x v="0"/>
    <x v="6"/>
    <s v="donna.oneill@yahoo.com"/>
    <s v="464 Carolyn Crest Suite 738, Lake Isaiah, CA 66153"/>
    <s v="OID1080"/>
    <x v="50"/>
    <s v="01:04:28"/>
    <x v="21"/>
    <n v="157.63999999999999"/>
    <n v="2"/>
    <x v="4"/>
    <n v="6"/>
    <n v="65"/>
    <d v="2023-08-10T00:00:00"/>
    <x v="436"/>
    <n v="3"/>
    <n v="315.27999999999997"/>
    <n v="380.28"/>
    <n v="0.1"/>
    <n v="38.027999999999999"/>
    <n v="342.25199999999995"/>
    <s v="Donna Oneill"/>
    <x v="0"/>
    <x v="10"/>
    <x v="2"/>
    <x v="3"/>
  </r>
  <r>
    <x v="13"/>
    <s v="Erin"/>
    <s v="Miller"/>
    <n v="46"/>
    <x v="0"/>
    <x v="6"/>
    <s v="erin.miller@gmail.com"/>
    <s v="65972 Peterson Route, Port Andrewfurt, SD 32892"/>
    <s v="OID4539"/>
    <x v="159"/>
    <s v="15:06:18"/>
    <x v="35"/>
    <n v="441.03"/>
    <n v="5"/>
    <x v="3"/>
    <n v="7"/>
    <n v="36"/>
    <d v="2023-03-31T00:00:00"/>
    <x v="437"/>
    <n v="6"/>
    <n v="2205.1499999999996"/>
    <n v="2241.1499999999996"/>
    <n v="0.2"/>
    <n v="448.22999999999996"/>
    <n v="1792.9199999999996"/>
    <s v="Erin Miller"/>
    <x v="0"/>
    <x v="0"/>
    <x v="2"/>
    <x v="2"/>
  </r>
  <r>
    <x v="53"/>
    <s v="Jodi"/>
    <s v="Whitney"/>
    <n v="33"/>
    <x v="2"/>
    <x v="6"/>
    <s v="jodi.whitney@yahoo.com"/>
    <s v="72876 Lara Key Suite 383, Gutierrezton, OR 71683"/>
    <s v="OID8093"/>
    <x v="333"/>
    <s v="15:43:42"/>
    <x v="30"/>
    <n v="369.03"/>
    <n v="4"/>
    <x v="0"/>
    <n v="5"/>
    <n v="48"/>
    <d v="2024-12-03T00:00:00"/>
    <x v="438"/>
    <n v="1"/>
    <n v="1476.12"/>
    <n v="1524.12"/>
    <n v="0.08"/>
    <n v="121.92959999999999"/>
    <n v="1402.1904"/>
    <s v="Jodi Whitney"/>
    <x v="0"/>
    <x v="7"/>
    <x v="0"/>
    <x v="3"/>
  </r>
  <r>
    <x v="35"/>
    <s v="Aaron"/>
    <s v="Thompson"/>
    <n v="47"/>
    <x v="1"/>
    <x v="3"/>
    <s v="aaron.thompson@gmail.com"/>
    <s v="PSC 0550, Box 2737, APO AE 75772"/>
    <s v="OID1707"/>
    <x v="145"/>
    <s v="21:05:38"/>
    <x v="23"/>
    <n v="129.75"/>
    <n v="2"/>
    <x v="3"/>
    <n v="5"/>
    <n v="47"/>
    <d v="2024-08-28T00:00:00"/>
    <x v="439"/>
    <n v="3"/>
    <n v="259.5"/>
    <n v="306.5"/>
    <n v="0.2"/>
    <n v="61.300000000000004"/>
    <n v="245.2"/>
    <s v="Aaron Thompson"/>
    <x v="0"/>
    <x v="10"/>
    <x v="0"/>
    <x v="2"/>
  </r>
  <r>
    <x v="85"/>
    <s v="Angela"/>
    <s v="Casey"/>
    <n v="40"/>
    <x v="0"/>
    <x v="2"/>
    <s v="angela.casey@gmail.com"/>
    <s v="089 Farley Terrace, Thomashaven, MT 56607"/>
    <s v="OID5703"/>
    <x v="334"/>
    <s v="16:01:40"/>
    <x v="14"/>
    <n v="20.7"/>
    <n v="2"/>
    <x v="0"/>
    <n v="5"/>
    <n v="61"/>
    <d v="2023-09-08T00:00:00"/>
    <x v="440"/>
    <n v="2"/>
    <n v="41.4"/>
    <n v="102.4"/>
    <n v="0.08"/>
    <n v="8.1920000000000002"/>
    <n v="94.207999999999998"/>
    <s v="Angela Casey"/>
    <x v="0"/>
    <x v="4"/>
    <x v="2"/>
    <x v="2"/>
  </r>
  <r>
    <x v="65"/>
    <s v="Lisa"/>
    <s v="Miller"/>
    <n v="70"/>
    <x v="1"/>
    <x v="3"/>
    <s v="lisa.miller@gmail.com"/>
    <s v="89748 Campbell Drive, South Tannerland, WI 13143"/>
    <s v="OID7457"/>
    <x v="335"/>
    <s v="13:25:17"/>
    <x v="26"/>
    <n v="372.62"/>
    <n v="2"/>
    <x v="4"/>
    <n v="4"/>
    <n v="57"/>
    <d v="2024-03-31T00:00:00"/>
    <x v="441"/>
    <n v="3"/>
    <n v="745.24"/>
    <n v="802.24"/>
    <n v="0.1"/>
    <n v="80.224000000000004"/>
    <n v="722.01599999999996"/>
    <s v="Lisa Miller"/>
    <x v="0"/>
    <x v="0"/>
    <x v="0"/>
    <x v="2"/>
  </r>
  <r>
    <x v="97"/>
    <s v="Gary"/>
    <s v="Jacobs"/>
    <n v="64"/>
    <x v="1"/>
    <x v="2"/>
    <s v="gary.jacobs@gmail.com"/>
    <s v="USNV Williams, FPO AP 23197"/>
    <s v="OID4784"/>
    <x v="336"/>
    <s v="07:19:13"/>
    <x v="48"/>
    <n v="107.47"/>
    <n v="4"/>
    <x v="3"/>
    <n v="5"/>
    <n v="42"/>
    <d v="2024-12-11T00:00:00"/>
    <x v="442"/>
    <n v="4"/>
    <n v="429.88"/>
    <n v="471.88"/>
    <n v="0.2"/>
    <n v="94.376000000000005"/>
    <n v="377.50400000000002"/>
    <s v="Gary Jacobs"/>
    <x v="0"/>
    <x v="7"/>
    <x v="0"/>
    <x v="2"/>
  </r>
  <r>
    <x v="97"/>
    <s v="Gary"/>
    <s v="Jacobs"/>
    <n v="64"/>
    <x v="1"/>
    <x v="2"/>
    <s v="gary.jacobs@gmail.com"/>
    <s v="USNV Williams, FPO AP 23197"/>
    <s v="OID1726"/>
    <x v="337"/>
    <s v="11:30:19"/>
    <x v="0"/>
    <n v="308.88"/>
    <n v="2"/>
    <x v="3"/>
    <n v="2"/>
    <n v="55"/>
    <d v="2024-09-06T00:00:00"/>
    <x v="443"/>
    <n v="2"/>
    <n v="617.76"/>
    <n v="672.76"/>
    <n v="0.2"/>
    <n v="134.55199999999999"/>
    <n v="538.20799999999997"/>
    <s v="Gary Jacobs"/>
    <x v="2"/>
    <x v="4"/>
    <x v="0"/>
    <x v="2"/>
  </r>
  <r>
    <x v="1"/>
    <s v="Anthony"/>
    <s v="Thomas"/>
    <n v="53"/>
    <x v="1"/>
    <x v="1"/>
    <s v="anthony.thomas@rediffmail.com"/>
    <s v="931 Christopher Ways Suite 833, North Michelle, IN 53484"/>
    <s v="OID1073"/>
    <x v="247"/>
    <s v="03:51:26"/>
    <x v="20"/>
    <n v="62.42"/>
    <n v="5"/>
    <x v="1"/>
    <n v="6"/>
    <n v="69"/>
    <d v="2025-02-02T00:00:00"/>
    <x v="444"/>
    <n v="6"/>
    <n v="312.10000000000002"/>
    <n v="381.1"/>
    <n v="0.15"/>
    <n v="57.164999999999999"/>
    <n v="323.935"/>
    <s v="Anthony Thomas"/>
    <x v="2"/>
    <x v="5"/>
    <x v="1"/>
    <x v="1"/>
  </r>
  <r>
    <x v="92"/>
    <s v="Lauren"/>
    <s v="Crane"/>
    <n v="62"/>
    <x v="1"/>
    <x v="1"/>
    <s v="lauren.crane@yahoo.com"/>
    <s v="30313 Reyes Parkways Suite 392, Port Bradley, SC 24078"/>
    <s v="OID7443"/>
    <x v="338"/>
    <s v="15:44:41"/>
    <x v="31"/>
    <n v="286.07"/>
    <n v="1"/>
    <x v="2"/>
    <n v="4"/>
    <n v="43"/>
    <d v="2024-05-22T00:00:00"/>
    <x v="445"/>
    <n v="5"/>
    <n v="286.07"/>
    <n v="329.07"/>
    <n v="0"/>
    <n v="0"/>
    <n v="329.07"/>
    <s v="Lauren Crane"/>
    <x v="1"/>
    <x v="2"/>
    <x v="0"/>
    <x v="3"/>
  </r>
  <r>
    <x v="97"/>
    <s v="Gary"/>
    <s v="Jacobs"/>
    <n v="64"/>
    <x v="1"/>
    <x v="2"/>
    <s v="gary.jacobs@gmail.com"/>
    <s v="USNV Williams, FPO AP 23197"/>
    <s v="OID1025"/>
    <x v="335"/>
    <s v="02:29:08"/>
    <x v="1"/>
    <n v="166.28"/>
    <n v="2"/>
    <x v="3"/>
    <n v="4"/>
    <n v="40"/>
    <d v="2024-04-02T00:00:00"/>
    <x v="446"/>
    <n v="5"/>
    <n v="332.56"/>
    <n v="372.56"/>
    <n v="0.2"/>
    <n v="74.512"/>
    <n v="298.048"/>
    <s v="Gary Jacobs"/>
    <x v="1"/>
    <x v="0"/>
    <x v="0"/>
    <x v="2"/>
  </r>
  <r>
    <x v="55"/>
    <s v="William"/>
    <s v="Mann"/>
    <n v="21"/>
    <x v="0"/>
    <x v="1"/>
    <s v="william.mann@yahoo.com"/>
    <s v="849 Tran Wells, New Lindsayville, WI 22669"/>
    <s v="OID8826"/>
    <x v="339"/>
    <s v="04:40:06"/>
    <x v="41"/>
    <n v="433.62"/>
    <n v="2"/>
    <x v="4"/>
    <n v="7"/>
    <n v="39"/>
    <d v="2024-12-18T00:00:00"/>
    <x v="447"/>
    <n v="6"/>
    <n v="867.24"/>
    <n v="906.24"/>
    <n v="0.1"/>
    <n v="90.624000000000009"/>
    <n v="815.61599999999999"/>
    <s v="William Mann"/>
    <x v="0"/>
    <x v="7"/>
    <x v="0"/>
    <x v="3"/>
  </r>
  <r>
    <x v="34"/>
    <s v="Thomas"/>
    <s v="Andersen"/>
    <n v="50"/>
    <x v="2"/>
    <x v="4"/>
    <s v="thomas.andersen@yahoo.com"/>
    <s v="480 Summers Lock Suite 819, Sarahborough, IA 59863"/>
    <s v="OID6254"/>
    <x v="54"/>
    <s v="01:51:31"/>
    <x v="3"/>
    <n v="405"/>
    <n v="3"/>
    <x v="4"/>
    <n v="6"/>
    <n v="36"/>
    <d v="2023-08-15T00:00:00"/>
    <x v="448"/>
    <n v="4"/>
    <n v="1215"/>
    <n v="1251"/>
    <n v="0.1"/>
    <n v="125.10000000000001"/>
    <n v="1125.9000000000001"/>
    <s v="Thomas Andersen"/>
    <x v="0"/>
    <x v="10"/>
    <x v="2"/>
    <x v="3"/>
  </r>
  <r>
    <x v="1"/>
    <s v="Anthony"/>
    <s v="Thomas"/>
    <n v="53"/>
    <x v="1"/>
    <x v="1"/>
    <s v="anthony.thomas@rediffmail.com"/>
    <s v="931 Christopher Ways Suite 833, North Michelle, IN 53484"/>
    <s v="OID7518"/>
    <x v="83"/>
    <s v="11:55:04"/>
    <x v="4"/>
    <n v="330.11"/>
    <n v="3"/>
    <x v="3"/>
    <n v="7"/>
    <n v="40"/>
    <d v="2023-06-03T00:00:00"/>
    <x v="449"/>
    <n v="4"/>
    <n v="990.33"/>
    <n v="1030.33"/>
    <n v="0.2"/>
    <n v="206.066"/>
    <n v="824.2639999999999"/>
    <s v="Anthony Thomas"/>
    <x v="0"/>
    <x v="2"/>
    <x v="2"/>
    <x v="1"/>
  </r>
  <r>
    <x v="94"/>
    <s v="Regina"/>
    <s v="Hawkins"/>
    <n v="47"/>
    <x v="1"/>
    <x v="0"/>
    <s v="regina.hawkins@rediffmail.com"/>
    <s v="096 Santos Neck Apt. 937, Benjaminmouth, FL 61454"/>
    <s v="OID4491"/>
    <x v="340"/>
    <s v="16:42:26"/>
    <x v="4"/>
    <n v="330.11"/>
    <n v="1"/>
    <x v="4"/>
    <n v="4"/>
    <n v="39"/>
    <d v="2024-04-02T00:00:00"/>
    <x v="450"/>
    <n v="4"/>
    <n v="330.11"/>
    <n v="369.11"/>
    <n v="0.1"/>
    <n v="36.911000000000001"/>
    <n v="332.19900000000001"/>
    <s v="Regina Hawkins"/>
    <x v="2"/>
    <x v="0"/>
    <x v="0"/>
    <x v="1"/>
  </r>
  <r>
    <x v="98"/>
    <s v="Janice"/>
    <s v="Gordon"/>
    <n v="43"/>
    <x v="0"/>
    <x v="1"/>
    <s v="janice.gordon@yahoo.com"/>
    <s v="5812 Evelyn Mountains Suite 845, Ortiztown, MN 86166"/>
    <s v="OID8288"/>
    <x v="341"/>
    <s v="02:55:29"/>
    <x v="40"/>
    <n v="445.81"/>
    <n v="2"/>
    <x v="1"/>
    <n v="4"/>
    <n v="59"/>
    <d v="2024-10-11T00:00:00"/>
    <x v="451"/>
    <n v="5"/>
    <n v="891.62"/>
    <n v="950.62"/>
    <n v="0.15"/>
    <n v="142.59299999999999"/>
    <n v="808.02700000000004"/>
    <s v="Janice Gordon"/>
    <x v="1"/>
    <x v="8"/>
    <x v="0"/>
    <x v="3"/>
  </r>
  <r>
    <x v="92"/>
    <s v="Lauren"/>
    <s v="Crane"/>
    <n v="62"/>
    <x v="1"/>
    <x v="1"/>
    <s v="lauren.crane@yahoo.com"/>
    <s v="30313 Reyes Parkways Suite 392, Port Bradley, SC 24078"/>
    <s v="OID6504"/>
    <x v="340"/>
    <s v="12:05:41"/>
    <x v="49"/>
    <n v="33.49"/>
    <n v="1"/>
    <x v="2"/>
    <n v="2"/>
    <n v="69"/>
    <d v="2024-04-03T00:00:00"/>
    <x v="452"/>
    <n v="5"/>
    <n v="33.49"/>
    <n v="102.49000000000001"/>
    <n v="0"/>
    <n v="0"/>
    <n v="102.49000000000001"/>
    <s v="Lauren Crane"/>
    <x v="1"/>
    <x v="0"/>
    <x v="0"/>
    <x v="3"/>
  </r>
  <r>
    <x v="33"/>
    <s v="Timothy"/>
    <s v="Hicks"/>
    <n v="31"/>
    <x v="2"/>
    <x v="4"/>
    <s v="timothy.hicks@gmail.com"/>
    <s v="140 Tracy Fields, Lake Cynthiaton, TX 57190"/>
    <s v="OID2595"/>
    <x v="77"/>
    <s v="03:10:32"/>
    <x v="21"/>
    <n v="157.63999999999999"/>
    <n v="1"/>
    <x v="3"/>
    <n v="7"/>
    <n v="46"/>
    <d v="2024-08-23T00:00:00"/>
    <x v="453"/>
    <n v="2"/>
    <n v="157.63999999999999"/>
    <n v="203.64"/>
    <n v="0.2"/>
    <n v="40.728000000000002"/>
    <n v="162.91199999999998"/>
    <s v="Timothy Hicks"/>
    <x v="0"/>
    <x v="10"/>
    <x v="0"/>
    <x v="2"/>
  </r>
  <r>
    <x v="32"/>
    <s v="Robert"/>
    <s v="Castillo"/>
    <n v="32"/>
    <x v="1"/>
    <x v="6"/>
    <s v="robert.castillo@gmail.com"/>
    <s v="7143 Brandon Skyway Suite 899, Tylerton, IA 21756"/>
    <s v="OID9478"/>
    <x v="194"/>
    <s v="17:54:41"/>
    <x v="8"/>
    <n v="257.06"/>
    <n v="1"/>
    <x v="0"/>
    <n v="3"/>
    <n v="47"/>
    <d v="2023-11-29T00:00:00"/>
    <x v="454"/>
    <n v="2"/>
    <n v="257.06"/>
    <n v="304.06"/>
    <n v="0.08"/>
    <n v="24.3248"/>
    <n v="279.73520000000002"/>
    <s v="Robert Castillo"/>
    <x v="0"/>
    <x v="11"/>
    <x v="2"/>
    <x v="2"/>
  </r>
  <r>
    <x v="77"/>
    <s v="Christine"/>
    <s v="Aguilar"/>
    <n v="46"/>
    <x v="0"/>
    <x v="0"/>
    <s v="christine.aguilar@gmail.com"/>
    <s v="3284 Martin Neck, Lopezville, NY 69154"/>
    <s v="OID1169"/>
    <x v="342"/>
    <s v="07:11:33"/>
    <x v="28"/>
    <n v="431.44"/>
    <n v="3"/>
    <x v="0"/>
    <n v="6"/>
    <n v="70"/>
    <d v="2023-02-26T00:00:00"/>
    <x v="455"/>
    <n v="3"/>
    <n v="1294.32"/>
    <n v="1364.32"/>
    <n v="0.08"/>
    <n v="109.1456"/>
    <n v="1255.1743999999999"/>
    <s v="Christine Aguilar"/>
    <x v="0"/>
    <x v="1"/>
    <x v="2"/>
    <x v="2"/>
  </r>
  <r>
    <x v="94"/>
    <s v="Regina"/>
    <s v="Hawkins"/>
    <n v="47"/>
    <x v="1"/>
    <x v="0"/>
    <s v="regina.hawkins@rediffmail.com"/>
    <s v="096 Santos Neck Apt. 937, Benjaminmouth, FL 61454"/>
    <s v="OID6775"/>
    <x v="89"/>
    <s v="06:54:03"/>
    <x v="16"/>
    <n v="132.97"/>
    <n v="1"/>
    <x v="1"/>
    <n v="6"/>
    <n v="37"/>
    <d v="2023-09-21T00:00:00"/>
    <x v="456"/>
    <n v="7"/>
    <n v="132.97"/>
    <n v="169.97"/>
    <n v="0.15"/>
    <n v="25.4955"/>
    <n v="144.47450000000001"/>
    <s v="Regina Hawkins"/>
    <x v="1"/>
    <x v="4"/>
    <x v="2"/>
    <x v="1"/>
  </r>
  <r>
    <x v="94"/>
    <s v="Regina"/>
    <s v="Hawkins"/>
    <n v="47"/>
    <x v="1"/>
    <x v="0"/>
    <s v="regina.hawkins@rediffmail.com"/>
    <s v="096 Santos Neck Apt. 937, Benjaminmouth, FL 61454"/>
    <s v="OID2383"/>
    <x v="343"/>
    <s v="04:44:42"/>
    <x v="24"/>
    <n v="481.48"/>
    <n v="2"/>
    <x v="2"/>
    <n v="5"/>
    <n v="45"/>
    <d v="2023-04-01T00:00:00"/>
    <x v="457"/>
    <n v="2"/>
    <n v="962.96"/>
    <n v="1007.96"/>
    <n v="0"/>
    <n v="0"/>
    <n v="1007.96"/>
    <s v="Regina Hawkins"/>
    <x v="0"/>
    <x v="0"/>
    <x v="2"/>
    <x v="1"/>
  </r>
  <r>
    <x v="99"/>
    <s v="Diana"/>
    <s v="French"/>
    <n v="54"/>
    <x v="1"/>
    <x v="2"/>
    <s v="diana.french@outlook.com"/>
    <s v="163 Jeffrey Drive, South Mary, NH 23999"/>
    <s v="OID3750"/>
    <x v="327"/>
    <s v="04:44:04"/>
    <x v="32"/>
    <n v="87.09"/>
    <n v="5"/>
    <x v="1"/>
    <n v="7"/>
    <n v="40"/>
    <d v="2024-10-24T00:00:00"/>
    <x v="458"/>
    <n v="2"/>
    <n v="435.45000000000005"/>
    <n v="475.45000000000005"/>
    <n v="0.15"/>
    <n v="71.31750000000001"/>
    <n v="404.13250000000005"/>
    <s v="Diana French"/>
    <x v="0"/>
    <x v="8"/>
    <x v="0"/>
    <x v="0"/>
  </r>
  <r>
    <x v="70"/>
    <s v="Edward"/>
    <s v="Black"/>
    <n v="42"/>
    <x v="0"/>
    <x v="2"/>
    <s v="edward.black@gmail.com"/>
    <s v="5879 Susan Via Apt. 886, Sandovalbury, WV 61449"/>
    <s v="OID4837"/>
    <x v="344"/>
    <s v="22:42:38"/>
    <x v="45"/>
    <n v="381.73"/>
    <n v="5"/>
    <x v="1"/>
    <n v="1"/>
    <n v="53"/>
    <d v="2024-11-07T00:00:00"/>
    <x v="459"/>
    <n v="7"/>
    <n v="1908.65"/>
    <n v="1961.65"/>
    <n v="0.15"/>
    <n v="294.2475"/>
    <n v="1667.4025000000001"/>
    <s v="Edward Black"/>
    <x v="1"/>
    <x v="8"/>
    <x v="0"/>
    <x v="2"/>
  </r>
  <r>
    <x v="87"/>
    <s v="Jared"/>
    <s v="Horn"/>
    <n v="43"/>
    <x v="0"/>
    <x v="4"/>
    <s v="jared.horn@outlook.com"/>
    <s v="43325 Barbara Tunnel, Port James, LA 16246"/>
    <s v="OID6975"/>
    <x v="345"/>
    <s v="18:23:17"/>
    <x v="28"/>
    <n v="431.44"/>
    <n v="3"/>
    <x v="1"/>
    <n v="4"/>
    <n v="58"/>
    <d v="2023-06-15T00:00:00"/>
    <x v="460"/>
    <n v="5"/>
    <n v="1294.32"/>
    <n v="1352.32"/>
    <n v="0.15"/>
    <n v="202.84799999999998"/>
    <n v="1149.472"/>
    <s v="Jared Horn"/>
    <x v="1"/>
    <x v="6"/>
    <x v="2"/>
    <x v="0"/>
  </r>
  <r>
    <x v="92"/>
    <s v="Lauren"/>
    <s v="Crane"/>
    <n v="62"/>
    <x v="1"/>
    <x v="1"/>
    <s v="lauren.crane@yahoo.com"/>
    <s v="30313 Reyes Parkways Suite 392, Port Bradley, SC 24078"/>
    <s v="OID1869"/>
    <x v="210"/>
    <s v="12:14:10"/>
    <x v="42"/>
    <n v="235.63"/>
    <n v="3"/>
    <x v="2"/>
    <n v="6"/>
    <n v="41"/>
    <d v="2024-04-16T00:00:00"/>
    <x v="461"/>
    <n v="5"/>
    <n v="706.89"/>
    <n v="747.89"/>
    <n v="0"/>
    <n v="0"/>
    <n v="747.89"/>
    <s v="Lauren Crane"/>
    <x v="0"/>
    <x v="3"/>
    <x v="0"/>
    <x v="3"/>
  </r>
  <r>
    <x v="13"/>
    <s v="Erin"/>
    <s v="Miller"/>
    <n v="46"/>
    <x v="0"/>
    <x v="6"/>
    <s v="erin.miller@gmail.com"/>
    <s v="65972 Peterson Route, Port Andrewfurt, SD 32892"/>
    <s v="OID3921"/>
    <x v="77"/>
    <s v="04:53:45"/>
    <x v="26"/>
    <n v="372.62"/>
    <n v="4"/>
    <x v="0"/>
    <n v="3"/>
    <n v="48"/>
    <d v="2024-08-26T00:00:00"/>
    <x v="462"/>
    <n v="5"/>
    <n v="1490.48"/>
    <n v="1538.48"/>
    <n v="0.08"/>
    <n v="123.0784"/>
    <n v="1415.4015999999999"/>
    <s v="Erin Miller"/>
    <x v="1"/>
    <x v="10"/>
    <x v="0"/>
    <x v="2"/>
  </r>
  <r>
    <x v="28"/>
    <s v="Jenny"/>
    <s v="Estrada"/>
    <n v="45"/>
    <x v="0"/>
    <x v="1"/>
    <s v="jenny.estrada@yahoo.com"/>
    <s v="792 Carlos Islands, West David, CT 16522"/>
    <s v="OID4056"/>
    <x v="346"/>
    <s v="10:23:23"/>
    <x v="40"/>
    <n v="445.81"/>
    <n v="3"/>
    <x v="3"/>
    <n v="1"/>
    <n v="58"/>
    <d v="2023-07-02T00:00:00"/>
    <x v="463"/>
    <n v="6"/>
    <n v="1337.43"/>
    <n v="1395.43"/>
    <n v="0.2"/>
    <n v="279.08600000000001"/>
    <n v="1116.3440000000001"/>
    <s v="Jenny Estrada"/>
    <x v="1"/>
    <x v="6"/>
    <x v="2"/>
    <x v="3"/>
  </r>
  <r>
    <x v="58"/>
    <s v="Amy"/>
    <s v="Ellis"/>
    <n v="44"/>
    <x v="2"/>
    <x v="3"/>
    <s v="amy.ellis@gmail.com"/>
    <s v="217 Scott Ville, Christophermouth, NH 83776"/>
    <s v="OID4907"/>
    <x v="347"/>
    <s v="20:13:44"/>
    <x v="39"/>
    <n v="403.03"/>
    <n v="2"/>
    <x v="1"/>
    <n v="7"/>
    <n v="39"/>
    <d v="2024-05-05T00:00:00"/>
    <x v="464"/>
    <n v="7"/>
    <n v="806.06"/>
    <n v="845.06"/>
    <n v="0.15"/>
    <n v="126.75899999999999"/>
    <n v="718.30099999999993"/>
    <s v="Amy Ellis"/>
    <x v="2"/>
    <x v="3"/>
    <x v="0"/>
    <x v="2"/>
  </r>
  <r>
    <x v="74"/>
    <s v="Amy"/>
    <s v="Griffin"/>
    <n v="29"/>
    <x v="0"/>
    <x v="1"/>
    <s v="amy.griffin@rediffmail.com"/>
    <s v="07350 Aaron Meadow Suite 138, Kiaraberg, AL 79545"/>
    <s v="OID9684"/>
    <x v="267"/>
    <s v="12:43:07"/>
    <x v="27"/>
    <n v="496.59"/>
    <n v="5"/>
    <x v="0"/>
    <n v="3"/>
    <n v="61"/>
    <d v="2024-05-13T00:00:00"/>
    <x v="465"/>
    <n v="2"/>
    <n v="2482.9499999999998"/>
    <n v="2543.9499999999998"/>
    <n v="0.08"/>
    <n v="203.51599999999999"/>
    <n v="2340.4339999999997"/>
    <s v="Amy Griffin"/>
    <x v="0"/>
    <x v="2"/>
    <x v="0"/>
    <x v="1"/>
  </r>
  <r>
    <x v="3"/>
    <s v="Angela"/>
    <s v="Horne"/>
    <n v="49"/>
    <x v="2"/>
    <x v="0"/>
    <s v="angela.horne@outlook.com"/>
    <s v="USNV Mueller, FPO AP 54648"/>
    <s v="OID2044"/>
    <x v="14"/>
    <s v="22:16:48"/>
    <x v="29"/>
    <n v="44.5"/>
    <n v="3"/>
    <x v="3"/>
    <n v="7"/>
    <n v="40"/>
    <d v="2024-03-31T00:00:00"/>
    <x v="466"/>
    <n v="5"/>
    <n v="133.5"/>
    <n v="173.5"/>
    <n v="0.2"/>
    <n v="34.700000000000003"/>
    <n v="138.80000000000001"/>
    <s v="Angela Horne"/>
    <x v="0"/>
    <x v="0"/>
    <x v="0"/>
    <x v="0"/>
  </r>
  <r>
    <x v="92"/>
    <s v="Lauren"/>
    <s v="Crane"/>
    <n v="62"/>
    <x v="1"/>
    <x v="1"/>
    <s v="lauren.crane@yahoo.com"/>
    <s v="30313 Reyes Parkways Suite 392, Port Bradley, SC 24078"/>
    <s v="OID6436"/>
    <x v="64"/>
    <s v="13:00:52"/>
    <x v="20"/>
    <n v="62.42"/>
    <n v="5"/>
    <x v="2"/>
    <n v="2"/>
    <n v="47"/>
    <d v="2024-06-10T00:00:00"/>
    <x v="467"/>
    <n v="2"/>
    <n v="312.10000000000002"/>
    <n v="359.1"/>
    <n v="0"/>
    <n v="0"/>
    <n v="359.1"/>
    <s v="Lauren Crane"/>
    <x v="2"/>
    <x v="6"/>
    <x v="0"/>
    <x v="3"/>
  </r>
  <r>
    <x v="63"/>
    <s v="Gregory"/>
    <s v="Lee"/>
    <n v="26"/>
    <x v="2"/>
    <x v="2"/>
    <s v="gregory.lee@rediffmail.com"/>
    <s v="619 Parker Turnpike Apt. 025, West Brucehaven, ID 48437"/>
    <s v="OID9374"/>
    <x v="348"/>
    <s v="15:33:07"/>
    <x v="32"/>
    <n v="87.09"/>
    <n v="4"/>
    <x v="4"/>
    <n v="5"/>
    <n v="45"/>
    <d v="2024-03-17T00:00:00"/>
    <x v="468"/>
    <n v="6"/>
    <n v="348.36"/>
    <n v="393.36"/>
    <n v="0.1"/>
    <n v="39.336000000000006"/>
    <n v="354.024"/>
    <s v="Gregory Lee"/>
    <x v="1"/>
    <x v="0"/>
    <x v="0"/>
    <x v="1"/>
  </r>
  <r>
    <x v="26"/>
    <s v="Heather"/>
    <s v="Schneider"/>
    <n v="48"/>
    <x v="1"/>
    <x v="3"/>
    <s v="heather.schneider@outlook.com"/>
    <s v="57940 Susan Creek Apt. 541, Port Aliciamouth, OR 90221"/>
    <s v="OID2767"/>
    <x v="126"/>
    <s v="16:58:37"/>
    <x v="25"/>
    <n v="77.84"/>
    <n v="4"/>
    <x v="3"/>
    <n v="5"/>
    <n v="55"/>
    <d v="2023-12-26T00:00:00"/>
    <x v="469"/>
    <n v="3"/>
    <n v="311.36"/>
    <n v="366.36"/>
    <n v="0.2"/>
    <n v="73.272000000000006"/>
    <n v="293.08800000000002"/>
    <s v="Heather Schneider"/>
    <x v="0"/>
    <x v="7"/>
    <x v="2"/>
    <x v="0"/>
  </r>
  <r>
    <x v="98"/>
    <s v="Janice"/>
    <s v="Gordon"/>
    <n v="43"/>
    <x v="0"/>
    <x v="1"/>
    <s v="janice.gordon@yahoo.com"/>
    <s v="5812 Evelyn Mountains Suite 845, Ortiztown, MN 86166"/>
    <s v="OID8981"/>
    <x v="221"/>
    <s v="15:06:44"/>
    <x v="25"/>
    <n v="77.84"/>
    <n v="5"/>
    <x v="4"/>
    <n v="2"/>
    <n v="53"/>
    <d v="2023-04-01T00:00:00"/>
    <x v="470"/>
    <n v="5"/>
    <n v="389.20000000000005"/>
    <n v="442.20000000000005"/>
    <n v="0.1"/>
    <n v="44.220000000000006"/>
    <n v="397.98"/>
    <s v="Janice Gordon"/>
    <x v="1"/>
    <x v="0"/>
    <x v="2"/>
    <x v="3"/>
  </r>
  <r>
    <x v="45"/>
    <s v="Debra"/>
    <s v="Hayes"/>
    <n v="33"/>
    <x v="0"/>
    <x v="6"/>
    <s v="debra.hayes@yahoo.com"/>
    <s v="4601 Miller Lock, Williamsbury, IA 10943"/>
    <s v="OID2246"/>
    <x v="349"/>
    <s v="05:36:29"/>
    <x v="16"/>
    <n v="132.97"/>
    <n v="4"/>
    <x v="2"/>
    <n v="6"/>
    <n v="63"/>
    <d v="2024-08-31T00:00:00"/>
    <x v="471"/>
    <n v="7"/>
    <n v="531.88"/>
    <n v="594.88"/>
    <n v="0"/>
    <n v="0"/>
    <n v="594.88"/>
    <s v="Debra Hayes"/>
    <x v="1"/>
    <x v="10"/>
    <x v="0"/>
    <x v="3"/>
  </r>
  <r>
    <x v="21"/>
    <s v="Angela"/>
    <s v="Evans"/>
    <n v="52"/>
    <x v="2"/>
    <x v="1"/>
    <s v="angela.evans@outlook.com"/>
    <s v="16031 David Mountain Suite 431, Susanborough, PA 01910"/>
    <s v="OID1779"/>
    <x v="350"/>
    <s v="12:50:57"/>
    <x v="15"/>
    <n v="461.07"/>
    <n v="3"/>
    <x v="1"/>
    <n v="4"/>
    <n v="54"/>
    <d v="2024-03-06T00:00:00"/>
    <x v="472"/>
    <n v="3"/>
    <n v="1383.21"/>
    <n v="1437.21"/>
    <n v="0.15"/>
    <n v="215.58150000000001"/>
    <n v="1221.6285"/>
    <s v="Angela Evans"/>
    <x v="0"/>
    <x v="0"/>
    <x v="0"/>
    <x v="0"/>
  </r>
  <r>
    <x v="59"/>
    <s v="Beth"/>
    <s v="Mason"/>
    <n v="45"/>
    <x v="2"/>
    <x v="3"/>
    <s v="beth.mason@outlook.com"/>
    <s v="58998 Sherry Haven, East Richard, FL 90775"/>
    <s v="OID2005"/>
    <x v="311"/>
    <s v="12:10:00"/>
    <x v="1"/>
    <n v="166.28"/>
    <n v="1"/>
    <x v="2"/>
    <n v="2"/>
    <n v="38"/>
    <d v="2024-02-06T00:00:00"/>
    <x v="473"/>
    <n v="1"/>
    <n v="166.28"/>
    <n v="204.28"/>
    <n v="0"/>
    <n v="0"/>
    <n v="204.28"/>
    <s v="Beth Mason"/>
    <x v="0"/>
    <x v="1"/>
    <x v="0"/>
    <x v="0"/>
  </r>
  <r>
    <x v="99"/>
    <s v="Diana"/>
    <s v="French"/>
    <n v="54"/>
    <x v="1"/>
    <x v="2"/>
    <s v="diana.french@outlook.com"/>
    <s v="163 Jeffrey Drive, South Mary, NH 23999"/>
    <s v="OID6485"/>
    <x v="351"/>
    <s v="13:21:50"/>
    <x v="38"/>
    <n v="477.52"/>
    <n v="4"/>
    <x v="4"/>
    <n v="3"/>
    <n v="54"/>
    <d v="2024-03-03T00:00:00"/>
    <x v="474"/>
    <n v="1"/>
    <n v="1910.08"/>
    <n v="1964.08"/>
    <n v="0.1"/>
    <n v="196.40800000000002"/>
    <n v="1767.672"/>
    <s v="Diana French"/>
    <x v="0"/>
    <x v="0"/>
    <x v="0"/>
    <x v="0"/>
  </r>
  <r>
    <x v="37"/>
    <s v="Alexandra"/>
    <s v="Smith"/>
    <n v="70"/>
    <x v="0"/>
    <x v="0"/>
    <s v="alexandra.smith@rediffmail.com"/>
    <s v="48611 Clark Village, West Anne, GA 92865"/>
    <s v="OID6319"/>
    <x v="192"/>
    <s v="18:25:37"/>
    <x v="38"/>
    <n v="477.52"/>
    <n v="5"/>
    <x v="4"/>
    <n v="7"/>
    <n v="53"/>
    <d v="2024-04-12T00:00:00"/>
    <x v="475"/>
    <n v="2"/>
    <n v="2387.6"/>
    <n v="2440.6"/>
    <n v="0.1"/>
    <n v="244.06"/>
    <n v="2196.54"/>
    <s v="Alexandra Smith"/>
    <x v="0"/>
    <x v="3"/>
    <x v="0"/>
    <x v="1"/>
  </r>
  <r>
    <x v="98"/>
    <s v="Janice"/>
    <s v="Gordon"/>
    <n v="43"/>
    <x v="0"/>
    <x v="1"/>
    <s v="janice.gordon@yahoo.com"/>
    <s v="5812 Evelyn Mountains Suite 845, Ortiztown, MN 86166"/>
    <s v="OID9461"/>
    <x v="352"/>
    <s v="14:34:14"/>
    <x v="22"/>
    <n v="158.53"/>
    <n v="2"/>
    <x v="2"/>
    <n v="5"/>
    <n v="69"/>
    <d v="2023-12-01T00:00:00"/>
    <x v="476"/>
    <n v="2"/>
    <n v="317.06"/>
    <n v="386.06"/>
    <n v="0"/>
    <n v="0"/>
    <n v="386.06"/>
    <s v="Janice Gordon"/>
    <x v="0"/>
    <x v="11"/>
    <x v="2"/>
    <x v="3"/>
  </r>
  <r>
    <x v="17"/>
    <s v="Deborah"/>
    <s v="Bates"/>
    <n v="23"/>
    <x v="0"/>
    <x v="3"/>
    <s v="deborah.bates@yahoo.com"/>
    <s v="278 Kathy Estate, Saraville, OH 77292"/>
    <s v="OID4522"/>
    <x v="353"/>
    <s v="00:44:05"/>
    <x v="3"/>
    <n v="405"/>
    <n v="3"/>
    <x v="4"/>
    <n v="5"/>
    <n v="54"/>
    <d v="2024-03-28T00:00:00"/>
    <x v="477"/>
    <n v="6"/>
    <n v="1215"/>
    <n v="1269"/>
    <n v="0.1"/>
    <n v="126.9"/>
    <n v="1142.0999999999999"/>
    <s v="Deborah Bates"/>
    <x v="1"/>
    <x v="0"/>
    <x v="0"/>
    <x v="3"/>
  </r>
  <r>
    <x v="44"/>
    <s v="Lori"/>
    <s v="Cook"/>
    <n v="18"/>
    <x v="1"/>
    <x v="1"/>
    <s v="lori.cook@rediffmail.com"/>
    <s v="86837 Bell Meadows, North Jasonshire, UT 51354"/>
    <s v="OID9862"/>
    <x v="340"/>
    <s v="05:02:45"/>
    <x v="48"/>
    <n v="107.47"/>
    <n v="4"/>
    <x v="4"/>
    <n v="3"/>
    <n v="65"/>
    <d v="2024-04-03T00:00:00"/>
    <x v="478"/>
    <n v="5"/>
    <n v="429.88"/>
    <n v="494.88"/>
    <n v="0.1"/>
    <n v="49.488"/>
    <n v="445.392"/>
    <s v="Lori Cook"/>
    <x v="1"/>
    <x v="0"/>
    <x v="0"/>
    <x v="1"/>
  </r>
  <r>
    <x v="46"/>
    <s v="Brittany"/>
    <s v="Stewart"/>
    <n v="68"/>
    <x v="2"/>
    <x v="7"/>
    <s v="brittany.stewart@gmail.com"/>
    <s v="6250 David Loaf Suite 561, North Pamelaberg, WV 63652"/>
    <s v="OID6361"/>
    <x v="354"/>
    <s v="16:28:38"/>
    <x v="19"/>
    <n v="128.13999999999999"/>
    <n v="3"/>
    <x v="3"/>
    <n v="2"/>
    <n v="59"/>
    <d v="2023-05-30T00:00:00"/>
    <x v="479"/>
    <n v="4"/>
    <n v="384.41999999999996"/>
    <n v="443.41999999999996"/>
    <n v="0.2"/>
    <n v="88.683999999999997"/>
    <n v="354.73599999999999"/>
    <s v="Brittany Stewart"/>
    <x v="1"/>
    <x v="2"/>
    <x v="2"/>
    <x v="2"/>
  </r>
  <r>
    <x v="15"/>
    <s v="Mallory"/>
    <s v="Mitchell"/>
    <n v="42"/>
    <x v="1"/>
    <x v="6"/>
    <s v="mallory.mitchell@yahoo.com"/>
    <s v="710 Anthony Wall Suite 137, East Davidstad, NV 61494"/>
    <s v="OID7238"/>
    <x v="355"/>
    <s v="08:22:36"/>
    <x v="14"/>
    <n v="20.7"/>
    <n v="1"/>
    <x v="4"/>
    <n v="5"/>
    <n v="55"/>
    <d v="2023-12-31T00:00:00"/>
    <x v="480"/>
    <n v="1"/>
    <n v="20.7"/>
    <n v="75.7"/>
    <n v="0.1"/>
    <n v="7.57"/>
    <n v="68.13"/>
    <s v="Mallory Mitchell"/>
    <x v="0"/>
    <x v="7"/>
    <x v="2"/>
    <x v="3"/>
  </r>
  <r>
    <x v="15"/>
    <s v="Mallory"/>
    <s v="Mitchell"/>
    <n v="42"/>
    <x v="1"/>
    <x v="6"/>
    <s v="mallory.mitchell@yahoo.com"/>
    <s v="710 Anthony Wall Suite 137, East Davidstad, NV 61494"/>
    <s v="OID8446"/>
    <x v="356"/>
    <s v="02:53:11"/>
    <x v="20"/>
    <n v="62.42"/>
    <n v="3"/>
    <x v="0"/>
    <n v="6"/>
    <n v="39"/>
    <d v="2023-07-22T00:00:00"/>
    <x v="481"/>
    <n v="1"/>
    <n v="187.26"/>
    <n v="226.26"/>
    <n v="0.08"/>
    <n v="18.1008"/>
    <n v="208.1592"/>
    <s v="Mallory Mitchell"/>
    <x v="0"/>
    <x v="9"/>
    <x v="2"/>
    <x v="3"/>
  </r>
  <r>
    <x v="16"/>
    <s v="Traci"/>
    <s v="Jones"/>
    <n v="34"/>
    <x v="0"/>
    <x v="3"/>
    <s v="traci.jones@yahoo.com"/>
    <s v="4016 Ryan Passage, Collinsside, PA 88777"/>
    <s v="OID9459"/>
    <x v="126"/>
    <s v="08:17:07"/>
    <x v="24"/>
    <n v="481.48"/>
    <n v="1"/>
    <x v="0"/>
    <n v="5"/>
    <n v="70"/>
    <d v="2023-12-27T00:00:00"/>
    <x v="482"/>
    <n v="4"/>
    <n v="481.48"/>
    <n v="551.48"/>
    <n v="0.08"/>
    <n v="44.118400000000001"/>
    <n v="507.36160000000001"/>
    <s v="Traci Jones"/>
    <x v="0"/>
    <x v="7"/>
    <x v="2"/>
    <x v="3"/>
  </r>
  <r>
    <x v="29"/>
    <s v="Courtney"/>
    <s v="Parker"/>
    <n v="29"/>
    <x v="2"/>
    <x v="3"/>
    <s v="courtney.parker@yahoo.com"/>
    <s v="087 Jacqueline Rue Apt. 694, East Tasha, SC 04859"/>
    <s v="OID6433"/>
    <x v="336"/>
    <s v="01:02:33"/>
    <x v="0"/>
    <n v="308.88"/>
    <n v="3"/>
    <x v="3"/>
    <n v="5"/>
    <n v="68"/>
    <d v="2024-12-10T00:00:00"/>
    <x v="483"/>
    <n v="3"/>
    <n v="926.64"/>
    <n v="994.64"/>
    <n v="0.2"/>
    <n v="198.928"/>
    <n v="795.71199999999999"/>
    <s v="Courtney Parker"/>
    <x v="0"/>
    <x v="7"/>
    <x v="0"/>
    <x v="3"/>
  </r>
  <r>
    <x v="84"/>
    <s v="Hannah"/>
    <s v="Gutierrez"/>
    <n v="55"/>
    <x v="1"/>
    <x v="5"/>
    <s v="hannah.gutierrez@yahoo.com"/>
    <s v="2420 David Manors, Jessicaland, CT 41698"/>
    <s v="OID3128"/>
    <x v="357"/>
    <s v="22:17:42"/>
    <x v="7"/>
    <n v="48.45"/>
    <n v="3"/>
    <x v="3"/>
    <n v="6"/>
    <n v="43"/>
    <d v="2024-03-07T00:00:00"/>
    <x v="484"/>
    <n v="2"/>
    <n v="145.35000000000002"/>
    <n v="188.35000000000002"/>
    <n v="0.2"/>
    <n v="37.670000000000009"/>
    <n v="150.68"/>
    <s v="Hannah Gutierrez"/>
    <x v="0"/>
    <x v="0"/>
    <x v="0"/>
    <x v="3"/>
  </r>
  <r>
    <x v="9"/>
    <s v="Joseph"/>
    <s v="Stewart"/>
    <n v="30"/>
    <x v="1"/>
    <x v="1"/>
    <s v="joseph.stewart@yahoo.com"/>
    <s v="4082 Wang Terrace Suite 040, Victorialand, ME 41532"/>
    <s v="OID8972"/>
    <x v="211"/>
    <s v="07:36:32"/>
    <x v="48"/>
    <n v="107.47"/>
    <n v="4"/>
    <x v="0"/>
    <n v="2"/>
    <n v="35"/>
    <d v="2023-09-22T00:00:00"/>
    <x v="485"/>
    <n v="3"/>
    <n v="429.88"/>
    <n v="464.88"/>
    <n v="0.08"/>
    <n v="37.190400000000004"/>
    <n v="427.68959999999998"/>
    <s v="Joseph Stewart"/>
    <x v="1"/>
    <x v="4"/>
    <x v="2"/>
    <x v="3"/>
  </r>
  <r>
    <x v="35"/>
    <s v="Aaron"/>
    <s v="Thompson"/>
    <n v="47"/>
    <x v="1"/>
    <x v="3"/>
    <s v="aaron.thompson@gmail.com"/>
    <s v="PSC 0550, Box 2737, APO AE 75772"/>
    <s v="OID5970"/>
    <x v="318"/>
    <s v="07:39:59"/>
    <x v="35"/>
    <n v="441.03"/>
    <n v="5"/>
    <x v="0"/>
    <n v="5"/>
    <n v="62"/>
    <d v="2025-01-25T00:00:00"/>
    <x v="486"/>
    <n v="1"/>
    <n v="2205.1499999999996"/>
    <n v="2267.1499999999996"/>
    <n v="0.08"/>
    <n v="181.37199999999999"/>
    <n v="2085.7779999999998"/>
    <s v="Aaron Thompson"/>
    <x v="0"/>
    <x v="5"/>
    <x v="1"/>
    <x v="2"/>
  </r>
  <r>
    <x v="54"/>
    <s v="Ashley"/>
    <s v="Romero"/>
    <n v="35"/>
    <x v="0"/>
    <x v="0"/>
    <s v="ashley.romero@yahoo.com"/>
    <s v="547 Kerry Expressway, Lake Amanda, AR 20321"/>
    <s v="OID3491"/>
    <x v="281"/>
    <s v="18:04:56"/>
    <x v="49"/>
    <n v="33.49"/>
    <n v="4"/>
    <x v="3"/>
    <n v="7"/>
    <n v="54"/>
    <d v="2023-03-23T00:00:00"/>
    <x v="487"/>
    <n v="1"/>
    <n v="133.96"/>
    <n v="187.96"/>
    <n v="0.2"/>
    <n v="37.592000000000006"/>
    <n v="150.36799999999999"/>
    <s v="Ashley Romero"/>
    <x v="0"/>
    <x v="0"/>
    <x v="2"/>
    <x v="3"/>
  </r>
  <r>
    <x v="63"/>
    <s v="Gregory"/>
    <s v="Lee"/>
    <n v="26"/>
    <x v="2"/>
    <x v="2"/>
    <s v="gregory.lee@rediffmail.com"/>
    <s v="619 Parker Turnpike Apt. 025, West Brucehaven, ID 48437"/>
    <s v="OID6651"/>
    <x v="358"/>
    <s v="03:18:41"/>
    <x v="49"/>
    <n v="33.49"/>
    <n v="1"/>
    <x v="1"/>
    <n v="4"/>
    <n v="44"/>
    <d v="2023-10-07T00:00:00"/>
    <x v="488"/>
    <n v="2"/>
    <n v="33.49"/>
    <n v="77.490000000000009"/>
    <n v="0.15"/>
    <n v="11.623500000000002"/>
    <n v="65.866500000000002"/>
    <s v="Gregory Lee"/>
    <x v="0"/>
    <x v="8"/>
    <x v="2"/>
    <x v="1"/>
  </r>
  <r>
    <x v="46"/>
    <s v="Brittany"/>
    <s v="Stewart"/>
    <n v="68"/>
    <x v="2"/>
    <x v="7"/>
    <s v="brittany.stewart@gmail.com"/>
    <s v="6250 David Loaf Suite 561, North Pamelaberg, WV 63652"/>
    <s v="OID2861"/>
    <x v="359"/>
    <s v="20:38:05"/>
    <x v="20"/>
    <n v="62.42"/>
    <n v="4"/>
    <x v="2"/>
    <n v="4"/>
    <n v="37"/>
    <d v="2024-11-01T00:00:00"/>
    <x v="489"/>
    <n v="7"/>
    <n v="249.68"/>
    <n v="286.68"/>
    <n v="0"/>
    <n v="0"/>
    <n v="286.68"/>
    <s v="Brittany Stewart"/>
    <x v="1"/>
    <x v="8"/>
    <x v="0"/>
    <x v="2"/>
  </r>
  <r>
    <x v="32"/>
    <s v="Robert"/>
    <s v="Castillo"/>
    <n v="32"/>
    <x v="1"/>
    <x v="6"/>
    <s v="robert.castillo@gmail.com"/>
    <s v="7143 Brandon Skyway Suite 899, Tylerton, IA 21756"/>
    <s v="OID3302"/>
    <x v="188"/>
    <s v="08:32:59"/>
    <x v="23"/>
    <n v="129.75"/>
    <n v="1"/>
    <x v="0"/>
    <n v="7"/>
    <n v="56"/>
    <d v="2023-10-20T00:00:00"/>
    <x v="490"/>
    <n v="2"/>
    <n v="129.75"/>
    <n v="185.75"/>
    <n v="0.08"/>
    <n v="14.86"/>
    <n v="170.89"/>
    <s v="Robert Castillo"/>
    <x v="0"/>
    <x v="8"/>
    <x v="2"/>
    <x v="2"/>
  </r>
  <r>
    <x v="14"/>
    <s v="Gina"/>
    <s v="Moreno"/>
    <n v="36"/>
    <x v="2"/>
    <x v="4"/>
    <s v="gina.moreno@rediffmail.com"/>
    <s v="USS Murray, FPO AP 66559"/>
    <s v="OID9922"/>
    <x v="360"/>
    <s v="12:42:28"/>
    <x v="14"/>
    <n v="20.7"/>
    <n v="4"/>
    <x v="3"/>
    <n v="1"/>
    <n v="61"/>
    <d v="2023-09-15T00:00:00"/>
    <x v="491"/>
    <n v="2"/>
    <n v="82.8"/>
    <n v="143.80000000000001"/>
    <n v="0.2"/>
    <n v="28.760000000000005"/>
    <n v="115.04"/>
    <s v="Gina Moreno"/>
    <x v="1"/>
    <x v="4"/>
    <x v="2"/>
    <x v="1"/>
  </r>
  <r>
    <x v="10"/>
    <s v="Kara"/>
    <s v="Brennan"/>
    <n v="25"/>
    <x v="2"/>
    <x v="4"/>
    <s v="kara.brennan@outlook.com"/>
    <s v="2174 Thomas Avenue, Maciasborough, NJ 41465"/>
    <s v="OID4613"/>
    <x v="255"/>
    <s v="10:24:01"/>
    <x v="11"/>
    <n v="220.27"/>
    <n v="3"/>
    <x v="2"/>
    <n v="4"/>
    <n v="50"/>
    <d v="2023-07-01T00:00:00"/>
    <x v="492"/>
    <n v="1"/>
    <n v="660.81000000000006"/>
    <n v="710.81000000000006"/>
    <n v="0"/>
    <n v="0"/>
    <n v="710.81000000000006"/>
    <s v="Kara Brennan"/>
    <x v="0"/>
    <x v="6"/>
    <x v="2"/>
    <x v="0"/>
  </r>
  <r>
    <x v="19"/>
    <s v="Mark"/>
    <s v="Henderson"/>
    <n v="33"/>
    <x v="2"/>
    <x v="7"/>
    <s v="mark.henderson@yahoo.com"/>
    <s v="90155 Hines Spring, North Theresafurt, ME 31920"/>
    <s v="OID7483"/>
    <x v="361"/>
    <s v="12:19:38"/>
    <x v="41"/>
    <n v="433.62"/>
    <n v="2"/>
    <x v="0"/>
    <n v="7"/>
    <n v="56"/>
    <d v="2023-04-23T00:00:00"/>
    <x v="493"/>
    <n v="7"/>
    <n v="867.24"/>
    <n v="923.24"/>
    <n v="0.08"/>
    <n v="73.859200000000001"/>
    <n v="849.38080000000002"/>
    <s v="Mark Henderson"/>
    <x v="2"/>
    <x v="3"/>
    <x v="2"/>
    <x v="3"/>
  </r>
  <r>
    <x v="93"/>
    <s v="Katie"/>
    <s v="Hicks"/>
    <n v="34"/>
    <x v="2"/>
    <x v="5"/>
    <s v="katie.hicks@rediffmail.com"/>
    <s v="848 William Port, New Marilyn, SD 58000"/>
    <s v="OID7418"/>
    <x v="362"/>
    <s v="01:15:18"/>
    <x v="19"/>
    <n v="128.13999999999999"/>
    <n v="3"/>
    <x v="0"/>
    <n v="5"/>
    <n v="49"/>
    <d v="2024-07-22T00:00:00"/>
    <x v="494"/>
    <n v="5"/>
    <n v="384.41999999999996"/>
    <n v="433.41999999999996"/>
    <n v="0.08"/>
    <n v="34.6736"/>
    <n v="398.74639999999994"/>
    <s v="Katie Hicks"/>
    <x v="2"/>
    <x v="9"/>
    <x v="0"/>
    <x v="1"/>
  </r>
  <r>
    <x v="99"/>
    <s v="Diana"/>
    <s v="French"/>
    <n v="54"/>
    <x v="1"/>
    <x v="2"/>
    <s v="diana.french@outlook.com"/>
    <s v="163 Jeffrey Drive, South Mary, NH 23999"/>
    <s v="OID3361"/>
    <x v="363"/>
    <s v="09:50:05"/>
    <x v="12"/>
    <n v="272.51"/>
    <n v="5"/>
    <x v="2"/>
    <n v="3"/>
    <n v="66"/>
    <d v="2024-04-06T00:00:00"/>
    <x v="495"/>
    <n v="7"/>
    <n v="1362.55"/>
    <n v="1428.55"/>
    <n v="0"/>
    <n v="0"/>
    <n v="1428.55"/>
    <s v="Diana French"/>
    <x v="1"/>
    <x v="0"/>
    <x v="0"/>
    <x v="0"/>
  </r>
  <r>
    <x v="39"/>
    <s v="Amanda"/>
    <s v="Howard"/>
    <n v="52"/>
    <x v="2"/>
    <x v="7"/>
    <s v="amanda.howard@outlook.com"/>
    <s v="56908 Sydney Park Suite 632, West Anthonyport, NC 15954"/>
    <s v="OID7475"/>
    <x v="364"/>
    <s v="08:30:03"/>
    <x v="43"/>
    <n v="424.82"/>
    <n v="2"/>
    <x v="2"/>
    <n v="6"/>
    <n v="63"/>
    <d v="2024-07-04T00:00:00"/>
    <x v="496"/>
    <n v="5"/>
    <n v="849.64"/>
    <n v="912.64"/>
    <n v="0"/>
    <n v="0"/>
    <n v="912.64"/>
    <s v="Amanda Howard"/>
    <x v="0"/>
    <x v="6"/>
    <x v="0"/>
    <x v="0"/>
  </r>
  <r>
    <x v="21"/>
    <s v="Angela"/>
    <s v="Evans"/>
    <n v="52"/>
    <x v="2"/>
    <x v="1"/>
    <s v="angela.evans@outlook.com"/>
    <s v="16031 David Mountain Suite 431, Susanborough, PA 01910"/>
    <s v="OID6847"/>
    <x v="254"/>
    <s v="17:02:09"/>
    <x v="29"/>
    <n v="44.5"/>
    <n v="4"/>
    <x v="2"/>
    <n v="3"/>
    <n v="45"/>
    <d v="2024-07-31T00:00:00"/>
    <x v="497"/>
    <n v="3"/>
    <n v="178"/>
    <n v="223"/>
    <n v="0"/>
    <n v="0"/>
    <n v="223"/>
    <s v="Angela Evans"/>
    <x v="2"/>
    <x v="9"/>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F01E92-0164-4E5E-B013-0520404E8413}"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7:H19" firstHeaderRow="1"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dataField="1"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2">
    <i>
      <x v="35"/>
    </i>
    <i t="grand">
      <x/>
    </i>
  </rowItems>
  <colItems count="1">
    <i/>
  </colItems>
  <dataFields count="1">
    <dataField name="Count of Order_ID" fld="8" subtotal="count" baseField="0" baseItem="0"/>
  </dataFields>
  <pivotTableStyleInfo name="PivotStyleLight16" showRowHeaders="1" showColHeaders="1" showRowStripes="0" showColStripes="0" showLastColumn="1"/>
  <filters count="1">
    <filter fld="11"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38FA7F-DD6F-44A8-851F-86E299222B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4" firstHeaderRow="1" firstDataRow="1" firstDataCol="1"/>
  <pivotFields count="33">
    <pivotField axis="axisRow" showAll="0" measureFilter="1" sortType="descending">
      <items count="101">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showAll="0"/>
    <pivotField showAll="0"/>
    <pivotField showAll="0"/>
    <pivotField numFmtId="164" showAll="0"/>
    <pivotField showAll="0"/>
    <pivotField showAll="0"/>
    <pivotField dataField="1" showAll="0"/>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2">
    <i>
      <x v="74"/>
    </i>
    <i t="grand">
      <x/>
    </i>
  </rowItems>
  <colItems count="1">
    <i/>
  </colItems>
  <dataFields count="1">
    <dataField name="Sum of Amount" fld="20" baseField="0" baseItem="0"/>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8CFC83-2033-4377-8C87-D68E8E4BE68A}"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B9" firstHeaderRow="1" firstDataRow="1" firstDataCol="1"/>
  <pivotFields count="33">
    <pivotField axis="axisRow" showAll="0" measureFilter="1" sortType="descending">
      <items count="101">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dataField="1"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3">
    <i>
      <x v="74"/>
    </i>
    <i>
      <x v="62"/>
    </i>
    <i t="grand">
      <x/>
    </i>
  </rowItems>
  <colItems count="1">
    <i/>
  </colItems>
  <dataFields count="1">
    <dataField name="Count of Order_ID" fld="8" subtotal="count" baseField="0" baseItem="0"/>
  </dataFields>
  <pivotTableStyleInfo name="PivotStyleLight16" showRowHeaders="1" showColHeaders="1" showRowStripes="0" showColStripes="0" showLastColumn="1"/>
  <filters count="1">
    <filter fld="0"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1C470A-1772-4634-A0AD-B4805713BF2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2:H24" firstHeaderRow="1"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items count="4">
        <item x="0"/>
        <item x="2"/>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2">
    <i>
      <x v="26"/>
    </i>
    <i t="grand">
      <x/>
    </i>
  </rowItems>
  <colItems count="1">
    <i/>
  </colItems>
  <dataFields count="1">
    <dataField name="Sum of Final_Amount" fld="24" baseField="0" baseItem="0"/>
  </dataFields>
  <pivotTableStyleInfo name="PivotStyleLight16" showRowHeaders="1" showColHeaders="1" showRowStripes="0" showColStripes="0" showLastColumn="1"/>
  <filters count="1">
    <filter fld="1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48B99A-040D-4FF6-BABF-FB957023056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9" firstHeaderRow="1" firstDataRow="1" firstDataCol="1"/>
  <pivotFields count="33">
    <pivotField axis="axisRow" showAll="0" measureFilter="1" sortType="descending">
      <items count="101">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items count="4">
        <item x="0"/>
        <item x="2"/>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6">
    <i>
      <x v="74"/>
    </i>
    <i>
      <x v="14"/>
    </i>
    <i>
      <x v="62"/>
    </i>
    <i>
      <x v="65"/>
    </i>
    <i>
      <x v="2"/>
    </i>
    <i t="grand">
      <x/>
    </i>
  </rowItems>
  <colItems count="1">
    <i/>
  </colItems>
  <dataFields count="1">
    <dataField name="Sum of Final_Amount" fld="24" baseField="0" baseItem="0"/>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33C4EC-02DB-4214-835B-98D349AB90A0}"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A12:B18" firstHeaderRow="1"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6">
    <i>
      <x v="1"/>
    </i>
    <i>
      <x v="35"/>
    </i>
    <i>
      <x v="45"/>
    </i>
    <i>
      <x v="17"/>
    </i>
    <i>
      <x v="26"/>
    </i>
    <i t="grand">
      <x/>
    </i>
  </rowItems>
  <colItems count="1">
    <i/>
  </colItems>
  <dataFields count="1">
    <dataField name="Sum of Quantity" fld="13" baseField="0" baseItem="0"/>
  </dataFields>
  <chartFormats count="6">
    <chartFormat chart="0" format="17" series="1">
      <pivotArea type="data" outline="0" fieldPosition="0">
        <references count="1">
          <reference field="4294967294" count="1" selected="0">
            <x v="0"/>
          </reference>
        </references>
      </pivotArea>
    </chartFormat>
    <chartFormat chart="0" format="18">
      <pivotArea type="data" outline="0" fieldPosition="0">
        <references count="2">
          <reference field="4294967294" count="1" selected="0">
            <x v="0"/>
          </reference>
          <reference field="11" count="1" selected="0">
            <x v="1"/>
          </reference>
        </references>
      </pivotArea>
    </chartFormat>
    <chartFormat chart="0" format="19">
      <pivotArea type="data" outline="0" fieldPosition="0">
        <references count="2">
          <reference field="4294967294" count="1" selected="0">
            <x v="0"/>
          </reference>
          <reference field="11" count="1" selected="0">
            <x v="35"/>
          </reference>
        </references>
      </pivotArea>
    </chartFormat>
    <chartFormat chart="0" format="20">
      <pivotArea type="data" outline="0" fieldPosition="0">
        <references count="2">
          <reference field="4294967294" count="1" selected="0">
            <x v="0"/>
          </reference>
          <reference field="11" count="1" selected="0">
            <x v="45"/>
          </reference>
        </references>
      </pivotArea>
    </chartFormat>
    <chartFormat chart="0" format="21">
      <pivotArea type="data" outline="0" fieldPosition="0">
        <references count="2">
          <reference field="4294967294" count="1" selected="0">
            <x v="0"/>
          </reference>
          <reference field="11" count="1" selected="0">
            <x v="17"/>
          </reference>
        </references>
      </pivotArea>
    </chartFormat>
    <chartFormat chart="0" format="22">
      <pivotArea type="data" outline="0" fieldPosition="0">
        <references count="2">
          <reference field="4294967294" count="1" selected="0">
            <x v="0"/>
          </reference>
          <reference field="11" count="1" selected="0">
            <x v="26"/>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4C66E8-8A2A-4880-B76A-D8E464D51D0C}"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R3:S7" firstHeaderRow="1"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showAll="0"/>
    <pivotField showAll="0"/>
    <pivotField showAll="0"/>
    <pivotField numFmtId="164" showAll="0"/>
    <pivotField showAll="0">
      <items count="499">
        <item x="58"/>
        <item x="36"/>
        <item x="259"/>
        <item x="298"/>
        <item x="155"/>
        <item x="206"/>
        <item x="467"/>
        <item x="240"/>
        <item x="493"/>
        <item x="91"/>
        <item x="188"/>
        <item x="45"/>
        <item x="182"/>
        <item x="249"/>
        <item x="248"/>
        <item x="266"/>
        <item x="176"/>
        <item x="399"/>
        <item x="159"/>
        <item x="49"/>
        <item x="312"/>
        <item x="397"/>
        <item x="262"/>
        <item x="321"/>
        <item x="90"/>
        <item x="23"/>
        <item x="175"/>
        <item x="469"/>
        <item x="479"/>
        <item x="77"/>
        <item x="51"/>
        <item x="456"/>
        <item x="132"/>
        <item x="117"/>
        <item x="472"/>
        <item x="245"/>
        <item x="97"/>
        <item x="364"/>
        <item x="488"/>
        <item x="311"/>
        <item x="434"/>
        <item x="218"/>
        <item x="151"/>
        <item x="244"/>
        <item x="355"/>
        <item x="38"/>
        <item x="93"/>
        <item x="446"/>
        <item x="430"/>
        <item x="207"/>
        <item x="335"/>
        <item x="302"/>
        <item x="400"/>
        <item x="410"/>
        <item x="447"/>
        <item x="74"/>
        <item x="383"/>
        <item x="308"/>
        <item x="457"/>
        <item x="339"/>
        <item x="257"/>
        <item x="27"/>
        <item x="142"/>
        <item x="440"/>
        <item x="153"/>
        <item x="443"/>
        <item x="62"/>
        <item x="100"/>
        <item x="323"/>
        <item x="489"/>
        <item x="237"/>
        <item x="141"/>
        <item x="231"/>
        <item x="56"/>
        <item x="445"/>
        <item x="359"/>
        <item x="362"/>
        <item x="251"/>
        <item x="483"/>
        <item x="490"/>
        <item x="461"/>
        <item x="455"/>
        <item x="241"/>
        <item x="299"/>
        <item x="135"/>
        <item x="428"/>
        <item x="17"/>
        <item x="437"/>
        <item x="481"/>
        <item x="407"/>
        <item x="401"/>
        <item x="303"/>
        <item x="391"/>
        <item x="181"/>
        <item x="183"/>
        <item x="451"/>
        <item x="296"/>
        <item x="192"/>
        <item x="24"/>
        <item x="452"/>
        <item x="120"/>
        <item x="341"/>
        <item x="427"/>
        <item x="442"/>
        <item x="178"/>
        <item x="486"/>
        <item x="418"/>
        <item x="164"/>
        <item x="146"/>
        <item x="106"/>
        <item x="330"/>
        <item x="448"/>
        <item x="465"/>
        <item x="122"/>
        <item x="326"/>
        <item x="422"/>
        <item x="329"/>
        <item x="140"/>
        <item x="291"/>
        <item x="167"/>
        <item x="265"/>
        <item x="342"/>
        <item x="409"/>
        <item x="72"/>
        <item x="449"/>
        <item x="230"/>
        <item x="462"/>
        <item x="139"/>
        <item x="497"/>
        <item x="64"/>
        <item x="348"/>
        <item x="425"/>
        <item x="211"/>
        <item x="435"/>
        <item x="102"/>
        <item x="278"/>
        <item x="46"/>
        <item x="96"/>
        <item x="492"/>
        <item x="338"/>
        <item x="402"/>
        <item x="306"/>
        <item x="210"/>
        <item x="388"/>
        <item x="392"/>
        <item x="172"/>
        <item x="352"/>
        <item x="149"/>
        <item x="349"/>
        <item x="487"/>
        <item x="277"/>
        <item x="92"/>
        <item x="168"/>
        <item x="148"/>
        <item x="3"/>
        <item x="482"/>
        <item x="228"/>
        <item x="258"/>
        <item x="431"/>
        <item x="361"/>
        <item x="52"/>
        <item x="382"/>
        <item x="471"/>
        <item x="47"/>
        <item x="67"/>
        <item x="256"/>
        <item x="274"/>
        <item x="76"/>
        <item x="288"/>
        <item x="275"/>
        <item x="480"/>
        <item x="53"/>
        <item x="215"/>
        <item x="219"/>
        <item x="272"/>
        <item x="415"/>
        <item x="10"/>
        <item x="261"/>
        <item x="233"/>
        <item x="28"/>
        <item x="186"/>
        <item x="375"/>
        <item x="69"/>
        <item x="150"/>
        <item x="450"/>
        <item x="199"/>
        <item x="411"/>
        <item x="417"/>
        <item x="345"/>
        <item x="454"/>
        <item x="264"/>
        <item x="283"/>
        <item x="369"/>
        <item x="54"/>
        <item x="32"/>
        <item x="0"/>
        <item x="41"/>
        <item x="223"/>
        <item x="104"/>
        <item x="63"/>
        <item x="398"/>
        <item x="464"/>
        <item x="103"/>
        <item x="83"/>
        <item x="34"/>
        <item x="255"/>
        <item x="347"/>
        <item x="319"/>
        <item x="31"/>
        <item x="414"/>
        <item x="224"/>
        <item x="473"/>
        <item x="475"/>
        <item x="346"/>
        <item x="343"/>
        <item x="485"/>
        <item x="156"/>
        <item x="484"/>
        <item x="305"/>
        <item x="232"/>
        <item x="109"/>
        <item x="48"/>
        <item x="26"/>
        <item x="33"/>
        <item x="161"/>
        <item x="252"/>
        <item x="325"/>
        <item x="94"/>
        <item x="426"/>
        <item x="68"/>
        <item x="370"/>
        <item x="18"/>
        <item x="98"/>
        <item x="284"/>
        <item x="287"/>
        <item x="138"/>
        <item x="336"/>
        <item x="360"/>
        <item x="71"/>
        <item x="174"/>
        <item x="421"/>
        <item x="269"/>
        <item x="160"/>
        <item x="221"/>
        <item x="208"/>
        <item x="171"/>
        <item x="79"/>
        <item x="89"/>
        <item x="396"/>
        <item x="270"/>
        <item x="395"/>
        <item x="380"/>
        <item x="126"/>
        <item x="15"/>
        <item x="5"/>
        <item x="40"/>
        <item x="293"/>
        <item x="260"/>
        <item x="143"/>
        <item x="119"/>
        <item x="453"/>
        <item x="328"/>
        <item x="238"/>
        <item x="216"/>
        <item x="154"/>
        <item x="112"/>
        <item x="115"/>
        <item x="416"/>
        <item x="66"/>
        <item x="165"/>
        <item x="212"/>
        <item x="315"/>
        <item x="195"/>
        <item x="166"/>
        <item x="242"/>
        <item x="128"/>
        <item x="374"/>
        <item x="7"/>
        <item x="43"/>
        <item x="193"/>
        <item x="459"/>
        <item x="267"/>
        <item x="214"/>
        <item x="271"/>
        <item x="372"/>
        <item x="16"/>
        <item x="203"/>
        <item x="444"/>
        <item x="281"/>
        <item x="204"/>
        <item x="201"/>
        <item x="59"/>
        <item x="222"/>
        <item x="84"/>
        <item x="12"/>
        <item x="180"/>
        <item x="179"/>
        <item x="21"/>
        <item x="365"/>
        <item x="322"/>
        <item x="389"/>
        <item x="424"/>
        <item x="300"/>
        <item x="254"/>
        <item x="185"/>
        <item x="236"/>
        <item x="334"/>
        <item x="129"/>
        <item x="20"/>
        <item x="82"/>
        <item x="433"/>
        <item x="441"/>
        <item x="85"/>
        <item x="357"/>
        <item x="478"/>
        <item x="289"/>
        <item x="19"/>
        <item x="121"/>
        <item x="133"/>
        <item x="35"/>
        <item x="384"/>
        <item x="387"/>
        <item x="432"/>
        <item x="226"/>
        <item x="2"/>
        <item x="378"/>
        <item x="470"/>
        <item x="191"/>
        <item x="337"/>
        <item x="420"/>
        <item x="101"/>
        <item x="423"/>
        <item x="162"/>
        <item x="394"/>
        <item x="406"/>
        <item x="246"/>
        <item x="331"/>
        <item x="13"/>
        <item x="367"/>
        <item x="57"/>
        <item x="116"/>
        <item x="42"/>
        <item x="250"/>
        <item x="81"/>
        <item x="282"/>
        <item x="134"/>
        <item x="438"/>
        <item x="235"/>
        <item x="468"/>
        <item x="61"/>
        <item x="73"/>
        <item x="170"/>
        <item x="220"/>
        <item x="385"/>
        <item x="75"/>
        <item x="317"/>
        <item x="55"/>
        <item x="466"/>
        <item x="44"/>
        <item x="494"/>
        <item x="309"/>
        <item x="491"/>
        <item x="78"/>
        <item x="405"/>
        <item x="354"/>
        <item x="22"/>
        <item x="131"/>
        <item x="110"/>
        <item x="144"/>
        <item x="173"/>
        <item x="310"/>
        <item x="125"/>
        <item x="184"/>
        <item x="279"/>
        <item x="436"/>
        <item x="114"/>
        <item x="37"/>
        <item x="320"/>
        <item x="227"/>
        <item x="286"/>
        <item x="99"/>
        <item x="496"/>
        <item x="87"/>
        <item x="50"/>
        <item x="356"/>
        <item x="200"/>
        <item x="30"/>
        <item x="439"/>
        <item x="273"/>
        <item x="390"/>
        <item x="194"/>
        <item x="476"/>
        <item x="371"/>
        <item x="292"/>
        <item x="393"/>
        <item x="404"/>
        <item x="157"/>
        <item x="39"/>
        <item x="307"/>
        <item x="386"/>
        <item x="304"/>
        <item x="169"/>
        <item x="177"/>
        <item x="474"/>
        <item x="202"/>
        <item x="234"/>
        <item x="1"/>
        <item x="113"/>
        <item x="301"/>
        <item x="111"/>
        <item x="324"/>
        <item x="152"/>
        <item x="316"/>
        <item x="280"/>
        <item x="377"/>
        <item x="127"/>
        <item x="263"/>
        <item x="460"/>
        <item x="403"/>
        <item x="368"/>
        <item x="477"/>
        <item x="332"/>
        <item x="297"/>
        <item x="327"/>
        <item x="105"/>
        <item x="147"/>
        <item x="318"/>
        <item x="9"/>
        <item x="163"/>
        <item x="344"/>
        <item x="285"/>
        <item x="60"/>
        <item x="217"/>
        <item x="6"/>
        <item x="413"/>
        <item x="124"/>
        <item x="80"/>
        <item x="29"/>
        <item x="25"/>
        <item x="290"/>
        <item x="198"/>
        <item x="197"/>
        <item x="353"/>
        <item x="313"/>
        <item x="458"/>
        <item x="350"/>
        <item x="429"/>
        <item x="379"/>
        <item x="86"/>
        <item x="463"/>
        <item x="136"/>
        <item x="373"/>
        <item x="408"/>
        <item x="107"/>
        <item x="14"/>
        <item x="295"/>
        <item x="145"/>
        <item x="4"/>
        <item x="95"/>
        <item x="209"/>
        <item x="158"/>
        <item x="363"/>
        <item x="351"/>
        <item x="276"/>
        <item x="108"/>
        <item x="419"/>
        <item x="239"/>
        <item x="190"/>
        <item x="229"/>
        <item x="253"/>
        <item x="70"/>
        <item x="294"/>
        <item x="11"/>
        <item x="333"/>
        <item x="196"/>
        <item x="366"/>
        <item x="8"/>
        <item x="118"/>
        <item x="88"/>
        <item x="381"/>
        <item x="247"/>
        <item x="268"/>
        <item x="225"/>
        <item x="205"/>
        <item x="340"/>
        <item x="358"/>
        <item x="137"/>
        <item x="412"/>
        <item x="213"/>
        <item x="65"/>
        <item x="189"/>
        <item x="314"/>
        <item x="495"/>
        <item x="243"/>
        <item x="187"/>
        <item x="130"/>
        <item x="123"/>
        <item x="376"/>
        <item t="default"/>
      </items>
    </pivotField>
    <pivotField showAll="0"/>
    <pivotField showAll="0"/>
    <pivotField showAll="0"/>
    <pivotField showAll="0"/>
    <pivotField showAll="0"/>
    <pivotField showAll="0"/>
    <pivotField showAll="0"/>
    <pivotField axis="axisRow" dataField="1" showAll="0">
      <items count="4">
        <item x="0"/>
        <item x="2"/>
        <item x="1"/>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6"/>
  </rowFields>
  <rowItems count="4">
    <i>
      <x/>
    </i>
    <i>
      <x v="1"/>
    </i>
    <i>
      <x v="2"/>
    </i>
    <i t="grand">
      <x/>
    </i>
  </rowItems>
  <colItems count="1">
    <i/>
  </colItems>
  <dataFields count="1">
    <dataField name="Count of IslateDelivery" fld="26" subtotal="count" baseField="0" baseItem="0"/>
  </dataFields>
  <chartFormats count="8">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26" count="1" selected="0">
            <x v="0"/>
          </reference>
        </references>
      </pivotArea>
    </chartFormat>
    <chartFormat chart="7" format="18">
      <pivotArea type="data" outline="0" fieldPosition="0">
        <references count="2">
          <reference field="4294967294" count="1" selected="0">
            <x v="0"/>
          </reference>
          <reference field="26" count="1" selected="0">
            <x v="1"/>
          </reference>
        </references>
      </pivotArea>
    </chartFormat>
    <chartFormat chart="7" format="19">
      <pivotArea type="data" outline="0" fieldPosition="0">
        <references count="2">
          <reference field="4294967294" count="1" selected="0">
            <x v="0"/>
          </reference>
          <reference field="26" count="1" selected="0">
            <x v="2"/>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26" count="1" selected="0">
            <x v="0"/>
          </reference>
        </references>
      </pivotArea>
    </chartFormat>
    <chartFormat chart="8" format="22">
      <pivotArea type="data" outline="0" fieldPosition="0">
        <references count="2">
          <reference field="4294967294" count="1" selected="0">
            <x v="0"/>
          </reference>
          <reference field="26" count="1" selected="0">
            <x v="1"/>
          </reference>
        </references>
      </pivotArea>
    </chartFormat>
    <chartFormat chart="8" format="23">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FBB3E5-92D0-4188-99B9-E3F2E06236AD}"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7:J23" firstHeaderRow="1"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axis="axisRow" dataField="1" showAll="0">
      <items count="6">
        <item x="2"/>
        <item x="4"/>
        <item x="1"/>
        <item x="3"/>
        <item x="0"/>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6">
    <i>
      <x/>
    </i>
    <i>
      <x v="1"/>
    </i>
    <i>
      <x v="2"/>
    </i>
    <i>
      <x v="3"/>
    </i>
    <i>
      <x v="4"/>
    </i>
    <i t="grand">
      <x/>
    </i>
  </rowItems>
  <colItems count="1">
    <i/>
  </colItems>
  <dataFields count="1">
    <dataField name="Count of Coupon_Code"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7BAB42-89BA-474A-BF19-24BFE4C79A3D}"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R17:T46" firstHeaderRow="0"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dataField="1" showAll="0"/>
    <pivotField dataField="1" showAll="0"/>
    <pivotField showAll="0"/>
    <pivotField showAll="0">
      <items count="4">
        <item x="0"/>
        <item x="2"/>
        <item x="1"/>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2">
    <field x="32"/>
    <field x="30"/>
  </rowFields>
  <rowItems count="29">
    <i>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t="grand">
      <x/>
    </i>
  </rowItems>
  <colFields count="1">
    <field x="-2"/>
  </colFields>
  <colItems count="2">
    <i>
      <x/>
    </i>
    <i i="1">
      <x v="1"/>
    </i>
  </colItems>
  <dataFields count="2">
    <dataField name="Sum of Final_Amount" fld="24" baseField="0" baseItem="0"/>
    <dataField name="Sum of Discount_Amount" fld="23" baseField="0" baseItem="0"/>
  </dataFields>
  <chartFormats count="2">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4067D4-EF74-4004-BC14-FEFAEE5A0498}"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8:M42" firstHeaderRow="1" firstDataRow="2" firstDataCol="1"/>
  <pivotFields count="33">
    <pivotField showAll="0"/>
    <pivotField showAll="0"/>
    <pivotField showAll="0"/>
    <pivotField showAll="0"/>
    <pivotField axis="axisCol"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items count="4">
        <item x="0"/>
        <item x="2"/>
        <item x="1"/>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sd="0" x="2"/>
        <item sd="0" x="3"/>
        <item sd="0" x="4"/>
        <item t="default"/>
      </items>
    </pivotField>
  </pivotFields>
  <rowFields count="1">
    <field x="30"/>
  </rowFields>
  <rowItems count="13">
    <i>
      <x v="1"/>
    </i>
    <i>
      <x v="2"/>
    </i>
    <i>
      <x v="3"/>
    </i>
    <i>
      <x v="4"/>
    </i>
    <i>
      <x v="5"/>
    </i>
    <i>
      <x v="6"/>
    </i>
    <i>
      <x v="7"/>
    </i>
    <i>
      <x v="8"/>
    </i>
    <i>
      <x v="9"/>
    </i>
    <i>
      <x v="10"/>
    </i>
    <i>
      <x v="11"/>
    </i>
    <i>
      <x v="12"/>
    </i>
    <i t="grand">
      <x/>
    </i>
  </rowItems>
  <colFields count="1">
    <field x="4"/>
  </colFields>
  <colItems count="4">
    <i>
      <x/>
    </i>
    <i>
      <x v="1"/>
    </i>
    <i>
      <x v="2"/>
    </i>
    <i t="grand">
      <x/>
    </i>
  </colItems>
  <dataFields count="1">
    <dataField name="Sum of Final_Amount" fld="24" baseField="0" baseItem="0"/>
  </dataFields>
  <chartFormats count="3">
    <chartFormat chart="2" format="6" series="1">
      <pivotArea type="data" outline="0" fieldPosition="0">
        <references count="2">
          <reference field="4294967294" count="1" selected="0">
            <x v="0"/>
          </reference>
          <reference field="4" count="1" selected="0">
            <x v="0"/>
          </reference>
        </references>
      </pivotArea>
    </chartFormat>
    <chartFormat chart="2" format="7" series="1">
      <pivotArea type="data" outline="0" fieldPosition="0">
        <references count="2">
          <reference field="4294967294" count="1" selected="0">
            <x v="0"/>
          </reference>
          <reference field="4" count="1" selected="0">
            <x v="1"/>
          </reference>
        </references>
      </pivotArea>
    </chartFormat>
    <chartFormat chart="2"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8BD051-BC8A-4A98-A859-7559837CC2E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31" firstHeaderRow="1" firstDataRow="1" firstDataCol="1"/>
  <pivotFields count="33">
    <pivotField showAll="0"/>
    <pivotField showAll="0"/>
    <pivotField showAll="0"/>
    <pivotField showAll="0"/>
    <pivotField showAll="0">
      <items count="4">
        <item x="1"/>
        <item x="0"/>
        <item x="2"/>
        <item t="default"/>
      </items>
    </pivotField>
    <pivotField axis="axisRow" showAll="0" sortType="descending">
      <items count="9">
        <item x="5"/>
        <item x="7"/>
        <item x="1"/>
        <item x="3"/>
        <item x="4"/>
        <item x="2"/>
        <item x="0"/>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9">
    <i>
      <x v="2"/>
    </i>
    <i>
      <x v="7"/>
    </i>
    <i>
      <x v="3"/>
    </i>
    <i>
      <x v="6"/>
    </i>
    <i>
      <x v="1"/>
    </i>
    <i>
      <x/>
    </i>
    <i>
      <x v="5"/>
    </i>
    <i>
      <x v="4"/>
    </i>
    <i t="grand">
      <x/>
    </i>
  </rowItems>
  <colItems count="1">
    <i/>
  </colItems>
  <dataFields count="1">
    <dataField name="Count of Order_I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A5596B-E42E-4318-A6D5-3D31ACAAB76E}" name="PivotTable2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W4:X9" firstHeaderRow="1"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axis="axisRow" dataField="1" showAll="0">
      <items count="5">
        <item x="2"/>
        <item x="0"/>
        <item x="1"/>
        <item x="3"/>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9"/>
  </rowFields>
  <rowItems count="5">
    <i>
      <x/>
    </i>
    <i>
      <x v="1"/>
    </i>
    <i>
      <x v="2"/>
    </i>
    <i>
      <x v="3"/>
    </i>
    <i t="grand">
      <x/>
    </i>
  </rowItems>
  <colItems count="1">
    <i/>
  </colItems>
  <dataFields count="1">
    <dataField name="Count of Email_Domain" fld="2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65FD24C-F310-4B0E-B074-35CA0888624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ID">
  <location ref="I3:J9" firstHeaderRow="1"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items count="4">
        <item x="0"/>
        <item x="2"/>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6">
    <i>
      <x v="26"/>
    </i>
    <i>
      <x v="45"/>
    </i>
    <i>
      <x v="16"/>
    </i>
    <i>
      <x v="3"/>
    </i>
    <i>
      <x v="37"/>
    </i>
    <i t="grand">
      <x/>
    </i>
  </rowItems>
  <colItems count="1">
    <i/>
  </colItems>
  <dataFields count="1">
    <dataField name="Top 5 Sales" fld="24" baseField="11" baseItem="26"/>
  </dataField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7C32E17-4972-4392-8BAF-C2CCF32A263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ID">
  <location ref="K3:L9" firstHeaderRow="1"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showAll="0" measureFilter="1" sortType="a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items count="4">
        <item x="0"/>
        <item x="2"/>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6">
    <i>
      <x v="37"/>
    </i>
    <i>
      <x v="3"/>
    </i>
    <i>
      <x v="16"/>
    </i>
    <i>
      <x v="45"/>
    </i>
    <i>
      <x v="26"/>
    </i>
    <i t="grand">
      <x/>
    </i>
  </rowItems>
  <colItems count="1">
    <i/>
  </colItems>
  <dataFields count="1">
    <dataField name="Bottom 5 Sales" fld="24" baseField="11" baseItem="37"/>
  </dataField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7F0BC8C-BE1D-4C7C-AC05-2A9CAACC261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5:B44" firstHeaderRow="1" firstDataRow="1" firstDataCol="1"/>
  <pivotFields count="33">
    <pivotField showAll="0"/>
    <pivotField showAll="0"/>
    <pivotField showAll="0"/>
    <pivotField showAll="0"/>
    <pivotField showAll="0">
      <items count="4">
        <item x="1"/>
        <item x="0"/>
        <item x="2"/>
        <item t="default"/>
      </items>
    </pivotField>
    <pivotField axis="axisRow" showAll="0" sortType="descending">
      <items count="9">
        <item x="5"/>
        <item x="7"/>
        <item x="1"/>
        <item x="3"/>
        <item x="4"/>
        <item x="2"/>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items count="4">
        <item x="0"/>
        <item x="2"/>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9">
    <i>
      <x v="2"/>
    </i>
    <i>
      <x v="7"/>
    </i>
    <i>
      <x v="3"/>
    </i>
    <i>
      <x v="1"/>
    </i>
    <i>
      <x v="6"/>
    </i>
    <i>
      <x v="5"/>
    </i>
    <i>
      <x/>
    </i>
    <i>
      <x v="4"/>
    </i>
    <i t="grand">
      <x/>
    </i>
  </rowItems>
  <colItems count="1">
    <i/>
  </colItems>
  <dataFields count="1">
    <dataField name="Sum of Final_Amount" fld="24"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82F7C5A-098F-4493-9E72-2AB5B8108A6F}" sourceName="Months (Order_Date)">
  <pivotTables>
    <pivotTable tabId="8" name="PivotTable21"/>
    <pivotTable tabId="5" name="PivotTable2"/>
    <pivotTable tabId="5" name="PivotTable3"/>
    <pivotTable tabId="5" name="PivotTable4"/>
    <pivotTable tabId="5" name="PivotTable5"/>
    <pivotTable tabId="8" name="PivotTable11"/>
    <pivotTable tabId="8" name="PivotTable12"/>
    <pivotTable tabId="8" name="PivotTable13"/>
    <pivotTable tabId="8" name="PivotTable14"/>
    <pivotTable tabId="8" name="PivotTable16"/>
    <pivotTable tabId="8" name="PivotTable17"/>
    <pivotTable tabId="8" name="PivotTable18"/>
    <pivotTable tabId="8" name="PivotTable19"/>
    <pivotTable tabId="8" name="PivotTable20"/>
    <pivotTable tabId="8" name="PivotTable22"/>
  </pivotTables>
  <data>
    <tabular pivotCacheId="825581947">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B8578DF-17E5-4554-9733-226D78F0F9C0}" sourceName="City">
  <pivotTables>
    <pivotTable tabId="8" name="PivotTable21"/>
    <pivotTable tabId="5" name="PivotTable2"/>
    <pivotTable tabId="5" name="PivotTable3"/>
    <pivotTable tabId="5" name="PivotTable4"/>
    <pivotTable tabId="5" name="PivotTable5"/>
    <pivotTable tabId="8" name="PivotTable11"/>
    <pivotTable tabId="8" name="PivotTable12"/>
    <pivotTable tabId="8" name="PivotTable13"/>
    <pivotTable tabId="8" name="PivotTable14"/>
    <pivotTable tabId="8" name="PivotTable16"/>
    <pivotTable tabId="8" name="PivotTable17"/>
    <pivotTable tabId="8" name="PivotTable18"/>
    <pivotTable tabId="8" name="PivotTable19"/>
    <pivotTable tabId="8" name="PivotTable20"/>
    <pivotTable tabId="8" name="PivotTable22"/>
  </pivotTables>
  <data>
    <tabular pivotCacheId="825581947">
      <items count="8">
        <i x="5" s="1"/>
        <i x="7" s="1"/>
        <i x="1" s="1"/>
        <i x="3" s="1"/>
        <i x="4" s="1"/>
        <i x="2"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52B01E9-0734-4B58-AFEA-4993C2A1E3A1}" sourceName="Gender">
  <pivotTables>
    <pivotTable tabId="8" name="PivotTable21"/>
    <pivotTable tabId="5" name="PivotTable2"/>
    <pivotTable tabId="5" name="PivotTable3"/>
    <pivotTable tabId="5" name="PivotTable4"/>
    <pivotTable tabId="5" name="PivotTable5"/>
    <pivotTable tabId="8" name="PivotTable11"/>
    <pivotTable tabId="8" name="PivotTable12"/>
    <pivotTable tabId="8" name="PivotTable13"/>
    <pivotTable tabId="8" name="PivotTable14"/>
    <pivotTable tabId="8" name="PivotTable16"/>
    <pivotTable tabId="8" name="PivotTable17"/>
    <pivotTable tabId="8" name="PivotTable18"/>
    <pivotTable tabId="8" name="PivotTable19"/>
    <pivotTable tabId="8" name="PivotTable20"/>
    <pivotTable tabId="8" name="PivotTable22"/>
  </pivotTables>
  <data>
    <tabular pivotCacheId="825581947">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lateDelivery" xr10:uid="{3C0B65D9-AC9A-451C-A760-9AF4AA0DA128}" sourceName="IslateDelivery">
  <pivotTables>
    <pivotTable tabId="8" name="PivotTable21"/>
    <pivotTable tabId="5" name="PivotTable2"/>
    <pivotTable tabId="5" name="PivotTable3"/>
    <pivotTable tabId="5" name="PivotTable4"/>
    <pivotTable tabId="5" name="PivotTable5"/>
    <pivotTable tabId="8" name="PivotTable11"/>
    <pivotTable tabId="8" name="PivotTable12"/>
    <pivotTable tabId="8" name="PivotTable13"/>
    <pivotTable tabId="8" name="PivotTable14"/>
    <pivotTable tabId="8" name="PivotTable16"/>
    <pivotTable tabId="8" name="PivotTable17"/>
    <pivotTable tabId="8" name="PivotTable18"/>
    <pivotTable tabId="8" name="PivotTable19"/>
    <pivotTable tabId="8" name="PivotTable20"/>
    <pivotTable tabId="8" name="PivotTable22"/>
  </pivotTables>
  <data>
    <tabular pivotCacheId="82558194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8C4B60F5-B385-47D4-87B5-3BC21A2A4AA6}" cache="Slicer_Months__Order_Date" caption="Months (Order_Date)" style="SlicerStyleDark3" rowHeight="241300"/>
  <slicer name="City" xr10:uid="{28792616-6A98-4B18-8D26-6DC97913546E}" cache="Slicer_City" caption="City" startItem="3" style="SlicerStyleDark3" rowHeight="241300"/>
  <slicer name="Gender" xr10:uid="{BCFD0F3A-AE0C-4340-BE24-44252D03370F}" cache="Slicer_Gender" caption="Gender" style="SlicerStyleDark3" rowHeight="241300"/>
  <slicer name="IslateDelivery" xr10:uid="{B158C0DD-7FDE-4941-87CA-AC37E98D690A}" cache="Slicer_IslateDelivery" caption="IslateDelivery" style="SlicerStyleDark3"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01"/>
  <sheetViews>
    <sheetView topLeftCell="D1" zoomScale="110" workbookViewId="0">
      <selection activeCell="Z5" sqref="Z5"/>
    </sheetView>
  </sheetViews>
  <sheetFormatPr defaultRowHeight="14.4" x14ac:dyDescent="0.3"/>
  <cols>
    <col min="1" max="1" width="16.6640625" customWidth="1"/>
    <col min="2" max="2" width="14.5546875" customWidth="1"/>
    <col min="3" max="3" width="12.33203125" customWidth="1"/>
    <col min="7" max="7" width="28.33203125" customWidth="1"/>
    <col min="10" max="10" width="12.33203125" customWidth="1"/>
    <col min="11" max="11" width="13.109375" customWidth="1"/>
    <col min="13" max="13" width="11.44140625" customWidth="1"/>
    <col min="15" max="15" width="14.33203125" customWidth="1"/>
    <col min="16" max="16" width="31.33203125" customWidth="1"/>
    <col min="17" max="17" width="18.44140625" customWidth="1"/>
    <col min="18" max="18" width="16.44140625" customWidth="1"/>
    <col min="19" max="19" width="12.33203125" customWidth="1"/>
    <col min="20" max="20" width="14.6640625" bestFit="1" customWidth="1"/>
    <col min="22" max="22" width="21.44140625" bestFit="1" customWidth="1"/>
    <col min="23" max="23" width="15.88671875" bestFit="1" customWidth="1"/>
    <col min="24" max="24" width="16.33203125" bestFit="1" customWidth="1"/>
    <col min="25" max="25" width="12.6640625" bestFit="1" customWidth="1"/>
    <col min="26" max="26" width="16.88671875" bestFit="1" customWidth="1"/>
    <col min="27" max="27" width="12.5546875" bestFit="1" customWidth="1"/>
    <col min="29" max="29" width="8.88671875" style="9"/>
    <col min="30" max="30" width="13.33203125" bestFit="1" customWidth="1"/>
  </cols>
  <sheetData>
    <row r="1" spans="1:31"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2048</v>
      </c>
      <c r="Q1" s="4" t="s">
        <v>15</v>
      </c>
      <c r="R1" s="4" t="s">
        <v>16</v>
      </c>
      <c r="S1" s="4" t="s">
        <v>17</v>
      </c>
      <c r="T1" s="4" t="s">
        <v>2087</v>
      </c>
      <c r="U1" s="8" t="s">
        <v>2088</v>
      </c>
      <c r="V1" s="8" t="s">
        <v>2089</v>
      </c>
      <c r="W1" s="8" t="s">
        <v>2090</v>
      </c>
      <c r="X1" s="8" t="s">
        <v>2091</v>
      </c>
      <c r="Y1" s="8" t="s">
        <v>2092</v>
      </c>
      <c r="Z1" s="8" t="s">
        <v>2093</v>
      </c>
      <c r="AA1" s="8" t="s">
        <v>2094</v>
      </c>
      <c r="AB1" s="8" t="s">
        <v>2095</v>
      </c>
      <c r="AC1" s="8" t="s">
        <v>2096</v>
      </c>
      <c r="AD1" s="8" t="s">
        <v>2097</v>
      </c>
      <c r="AE1" s="8"/>
    </row>
    <row r="2" spans="1:31" x14ac:dyDescent="0.3">
      <c r="A2" t="s">
        <v>18</v>
      </c>
      <c r="B2" t="s">
        <v>118</v>
      </c>
      <c r="C2" t="s">
        <v>201</v>
      </c>
      <c r="D2">
        <v>37</v>
      </c>
      <c r="E2" t="s">
        <v>288</v>
      </c>
      <c r="F2" t="s">
        <v>291</v>
      </c>
      <c r="G2" t="s">
        <v>299</v>
      </c>
      <c r="H2" t="s">
        <v>399</v>
      </c>
      <c r="I2" t="s">
        <v>499</v>
      </c>
      <c r="J2" s="1">
        <v>45358</v>
      </c>
      <c r="K2" t="s">
        <v>999</v>
      </c>
      <c r="L2" t="s">
        <v>1497</v>
      </c>
      <c r="M2">
        <v>308.88</v>
      </c>
      <c r="N2">
        <v>5</v>
      </c>
      <c r="O2" t="s">
        <v>2047</v>
      </c>
      <c r="P2">
        <v>4</v>
      </c>
      <c r="Q2">
        <v>60</v>
      </c>
      <c r="R2" s="1">
        <v>45361</v>
      </c>
      <c r="S2" t="s">
        <v>1551</v>
      </c>
      <c r="T2">
        <f>R2-J2</f>
        <v>3</v>
      </c>
      <c r="U2">
        <f>M2*N2</f>
        <v>1544.4</v>
      </c>
      <c r="V2">
        <f>IF(O2="DEL0",U2,U2+Q2)</f>
        <v>1604.4</v>
      </c>
      <c r="W2">
        <f>IF(O2="FLAT8",8%,IF(O2="FLAT10",10%,IF(O2="FLAT15",15%,IF(O2="FLAT20",20%,0))))</f>
        <v>0.08</v>
      </c>
      <c r="X2">
        <f>U2*W2</f>
        <v>123.55200000000001</v>
      </c>
      <c r="Y2">
        <f>V2-X2</f>
        <v>1480.8480000000002</v>
      </c>
      <c r="Z2" t="str">
        <f>B2&amp;" "&amp;C2</f>
        <v>Anne Oconnell</v>
      </c>
      <c r="AA2" s="1" t="str">
        <f>IF(R2&lt;(J2+P2),"Before Time",IF(R2=(J2+P2),"In Time","Late"))</f>
        <v>Before Time</v>
      </c>
      <c r="AB2" t="str">
        <f>TEXT(J2,"MMM")</f>
        <v>Mar</v>
      </c>
      <c r="AC2" s="9">
        <f>YEAR(J2)</f>
        <v>2024</v>
      </c>
      <c r="AD2" t="str">
        <f>RIGHT(G2,LEN(G2)-FIND("@",G2))</f>
        <v>outlook.com</v>
      </c>
    </row>
    <row r="3" spans="1:31" x14ac:dyDescent="0.3">
      <c r="A3" t="s">
        <v>19</v>
      </c>
      <c r="B3" t="s">
        <v>119</v>
      </c>
      <c r="C3" t="s">
        <v>154</v>
      </c>
      <c r="D3">
        <v>53</v>
      </c>
      <c r="E3" t="s">
        <v>289</v>
      </c>
      <c r="F3" t="s">
        <v>292</v>
      </c>
      <c r="G3" t="s">
        <v>300</v>
      </c>
      <c r="H3" t="s">
        <v>400</v>
      </c>
      <c r="I3" t="s">
        <v>500</v>
      </c>
      <c r="J3" s="1">
        <v>45378</v>
      </c>
      <c r="K3" t="s">
        <v>1000</v>
      </c>
      <c r="L3" t="s">
        <v>1498</v>
      </c>
      <c r="M3">
        <v>166.28</v>
      </c>
      <c r="N3">
        <v>4</v>
      </c>
      <c r="O3" t="s">
        <v>2047</v>
      </c>
      <c r="P3">
        <v>7</v>
      </c>
      <c r="Q3">
        <v>66</v>
      </c>
      <c r="R3" s="1">
        <v>45381</v>
      </c>
      <c r="S3" t="s">
        <v>1552</v>
      </c>
      <c r="T3">
        <f t="shared" ref="T3:T66" si="0">R3-J3</f>
        <v>3</v>
      </c>
      <c r="U3">
        <f t="shared" ref="U3:U66" si="1">M3*N3</f>
        <v>665.12</v>
      </c>
      <c r="V3">
        <f t="shared" ref="V3:V66" si="2">IF(O3="DEL0",U3,U3+Q3)</f>
        <v>731.12</v>
      </c>
      <c r="W3">
        <f t="shared" ref="W3:W66" si="3">IF(O3="FLAT8",8%,IF(O3="FLAT10",10%,IF(O3="FLAT15",15%,IF(O3="FLAT20",20%,0))))</f>
        <v>0.08</v>
      </c>
      <c r="X3">
        <f t="shared" ref="X3:X66" si="4">U3*W3</f>
        <v>53.209600000000002</v>
      </c>
      <c r="Y3">
        <f t="shared" ref="Y3:Y66" si="5">V3-X3</f>
        <v>677.91039999999998</v>
      </c>
      <c r="Z3" t="str">
        <f t="shared" ref="Z3:Z66" si="6">B3&amp;" "&amp;C3</f>
        <v>Anthony Thomas</v>
      </c>
      <c r="AA3" s="1" t="str">
        <f t="shared" ref="AA3:AA66" si="7">IF(R3&lt;(J3+P3),"Before Time",IF(R3=(J3+P3),"In Time","Late"))</f>
        <v>Before Time</v>
      </c>
      <c r="AB3" t="str">
        <f t="shared" ref="AB3:AB66" si="8">TEXT(J3,"MMM")</f>
        <v>Mar</v>
      </c>
      <c r="AC3" s="9">
        <f t="shared" ref="AC3:AC66" si="9">YEAR(J3)</f>
        <v>2024</v>
      </c>
      <c r="AD3" t="str">
        <f t="shared" ref="AD3:AD66" si="10">RIGHT(G3,LEN(G3)-FIND("@",G3))</f>
        <v>rediffmail.com</v>
      </c>
    </row>
    <row r="4" spans="1:31" x14ac:dyDescent="0.3">
      <c r="A4" t="s">
        <v>24</v>
      </c>
      <c r="B4" t="s">
        <v>124</v>
      </c>
      <c r="C4" t="s">
        <v>206</v>
      </c>
      <c r="D4">
        <v>60</v>
      </c>
      <c r="E4" t="s">
        <v>290</v>
      </c>
      <c r="F4" t="s">
        <v>291</v>
      </c>
      <c r="G4" t="s">
        <v>305</v>
      </c>
      <c r="H4" t="s">
        <v>405</v>
      </c>
      <c r="I4" t="s">
        <v>505</v>
      </c>
      <c r="J4" s="1">
        <v>45342</v>
      </c>
      <c r="K4" t="s">
        <v>1005</v>
      </c>
      <c r="L4" t="s">
        <v>1502</v>
      </c>
      <c r="M4">
        <v>202.54</v>
      </c>
      <c r="N4">
        <v>1</v>
      </c>
      <c r="O4" t="s">
        <v>1548</v>
      </c>
      <c r="P4">
        <v>3</v>
      </c>
      <c r="Q4">
        <v>47</v>
      </c>
      <c r="R4" s="1">
        <v>45344</v>
      </c>
      <c r="S4" t="s">
        <v>1557</v>
      </c>
      <c r="T4">
        <f t="shared" si="0"/>
        <v>2</v>
      </c>
      <c r="U4">
        <f t="shared" si="1"/>
        <v>202.54</v>
      </c>
      <c r="V4">
        <f t="shared" si="2"/>
        <v>249.54</v>
      </c>
      <c r="W4">
        <f t="shared" si="3"/>
        <v>0.15</v>
      </c>
      <c r="X4">
        <f t="shared" si="4"/>
        <v>30.380999999999997</v>
      </c>
      <c r="Y4">
        <f t="shared" si="5"/>
        <v>219.15899999999999</v>
      </c>
      <c r="Z4" t="str">
        <f t="shared" si="6"/>
        <v>Karl Gallagher</v>
      </c>
      <c r="AA4" s="1" t="str">
        <f t="shared" si="7"/>
        <v>Before Time</v>
      </c>
      <c r="AB4" t="str">
        <f t="shared" si="8"/>
        <v>Feb</v>
      </c>
      <c r="AC4" s="9">
        <f t="shared" si="9"/>
        <v>2024</v>
      </c>
      <c r="AD4" t="str">
        <f t="shared" si="10"/>
        <v>rediffmail.com</v>
      </c>
    </row>
    <row r="5" spans="1:31" x14ac:dyDescent="0.3">
      <c r="A5" t="s">
        <v>24</v>
      </c>
      <c r="B5" t="s">
        <v>124</v>
      </c>
      <c r="C5" t="s">
        <v>206</v>
      </c>
      <c r="D5">
        <v>60</v>
      </c>
      <c r="E5" t="s">
        <v>290</v>
      </c>
      <c r="F5" t="s">
        <v>291</v>
      </c>
      <c r="G5" t="s">
        <v>305</v>
      </c>
      <c r="H5" t="s">
        <v>405</v>
      </c>
      <c r="I5" t="s">
        <v>582</v>
      </c>
      <c r="J5" s="1">
        <v>45426</v>
      </c>
      <c r="K5" t="s">
        <v>1082</v>
      </c>
      <c r="L5" t="s">
        <v>1526</v>
      </c>
      <c r="M5">
        <v>405</v>
      </c>
      <c r="N5">
        <v>5</v>
      </c>
      <c r="O5" t="s">
        <v>1547</v>
      </c>
      <c r="P5">
        <v>6</v>
      </c>
      <c r="Q5">
        <v>47</v>
      </c>
      <c r="R5" s="1">
        <v>45430</v>
      </c>
      <c r="S5" t="s">
        <v>1634</v>
      </c>
      <c r="T5">
        <f t="shared" si="0"/>
        <v>4</v>
      </c>
      <c r="U5">
        <f t="shared" si="1"/>
        <v>2025</v>
      </c>
      <c r="V5">
        <f t="shared" si="2"/>
        <v>2025</v>
      </c>
      <c r="W5">
        <f t="shared" si="3"/>
        <v>0</v>
      </c>
      <c r="X5">
        <f t="shared" si="4"/>
        <v>0</v>
      </c>
      <c r="Y5">
        <f t="shared" si="5"/>
        <v>2025</v>
      </c>
      <c r="Z5" t="str">
        <f t="shared" si="6"/>
        <v>Karl Gallagher</v>
      </c>
      <c r="AA5" s="1" t="str">
        <f t="shared" si="7"/>
        <v>Before Time</v>
      </c>
      <c r="AB5" t="str">
        <f t="shared" si="8"/>
        <v>May</v>
      </c>
      <c r="AC5" s="9">
        <f t="shared" si="9"/>
        <v>2024</v>
      </c>
      <c r="AD5" t="str">
        <f t="shared" si="10"/>
        <v>rediffmail.com</v>
      </c>
    </row>
    <row r="6" spans="1:31" x14ac:dyDescent="0.3">
      <c r="A6" t="s">
        <v>22</v>
      </c>
      <c r="B6" t="s">
        <v>122</v>
      </c>
      <c r="C6" t="s">
        <v>204</v>
      </c>
      <c r="D6">
        <v>49</v>
      </c>
      <c r="E6" t="s">
        <v>290</v>
      </c>
      <c r="F6" t="s">
        <v>291</v>
      </c>
      <c r="G6" t="s">
        <v>303</v>
      </c>
      <c r="H6" t="s">
        <v>403</v>
      </c>
      <c r="I6" t="s">
        <v>503</v>
      </c>
      <c r="J6" s="1">
        <v>45391</v>
      </c>
      <c r="K6" t="s">
        <v>1003</v>
      </c>
      <c r="L6" t="s">
        <v>1498</v>
      </c>
      <c r="M6">
        <v>166.28</v>
      </c>
      <c r="N6">
        <v>1</v>
      </c>
      <c r="O6" t="s">
        <v>2047</v>
      </c>
      <c r="P6">
        <v>2</v>
      </c>
      <c r="Q6">
        <v>54</v>
      </c>
      <c r="R6" s="1">
        <v>45395</v>
      </c>
      <c r="S6" t="s">
        <v>1555</v>
      </c>
      <c r="T6">
        <f t="shared" si="0"/>
        <v>4</v>
      </c>
      <c r="U6">
        <f t="shared" si="1"/>
        <v>166.28</v>
      </c>
      <c r="V6">
        <f t="shared" si="2"/>
        <v>220.28</v>
      </c>
      <c r="W6">
        <f t="shared" si="3"/>
        <v>0.08</v>
      </c>
      <c r="X6">
        <f t="shared" si="4"/>
        <v>13.3024</v>
      </c>
      <c r="Y6">
        <f t="shared" si="5"/>
        <v>206.9776</v>
      </c>
      <c r="Z6" t="str">
        <f t="shared" si="6"/>
        <v>Angela Horne</v>
      </c>
      <c r="AA6" s="1" t="str">
        <f t="shared" si="7"/>
        <v>Late</v>
      </c>
      <c r="AB6" t="str">
        <f t="shared" si="8"/>
        <v>Apr</v>
      </c>
      <c r="AC6" s="9">
        <f t="shared" si="9"/>
        <v>2024</v>
      </c>
      <c r="AD6" t="str">
        <f t="shared" si="10"/>
        <v>outlook.com</v>
      </c>
    </row>
    <row r="7" spans="1:31" x14ac:dyDescent="0.3">
      <c r="A7" t="s">
        <v>23</v>
      </c>
      <c r="B7" t="s">
        <v>123</v>
      </c>
      <c r="C7" t="s">
        <v>205</v>
      </c>
      <c r="D7">
        <v>53</v>
      </c>
      <c r="E7" t="s">
        <v>290</v>
      </c>
      <c r="F7" t="s">
        <v>295</v>
      </c>
      <c r="G7" t="s">
        <v>304</v>
      </c>
      <c r="H7" t="s">
        <v>404</v>
      </c>
      <c r="I7" t="s">
        <v>504</v>
      </c>
      <c r="J7" s="1">
        <v>45543</v>
      </c>
      <c r="K7" t="s">
        <v>1004</v>
      </c>
      <c r="L7" t="s">
        <v>1501</v>
      </c>
      <c r="M7">
        <v>330.11</v>
      </c>
      <c r="N7">
        <v>4</v>
      </c>
      <c r="O7" t="s">
        <v>1548</v>
      </c>
      <c r="P7">
        <v>6</v>
      </c>
      <c r="Q7">
        <v>39</v>
      </c>
      <c r="R7" s="1">
        <v>45547</v>
      </c>
      <c r="S7" t="s">
        <v>1556</v>
      </c>
      <c r="T7">
        <f t="shared" si="0"/>
        <v>4</v>
      </c>
      <c r="U7">
        <f t="shared" si="1"/>
        <v>1320.44</v>
      </c>
      <c r="V7">
        <f t="shared" si="2"/>
        <v>1359.44</v>
      </c>
      <c r="W7">
        <f t="shared" si="3"/>
        <v>0.15</v>
      </c>
      <c r="X7">
        <f t="shared" si="4"/>
        <v>198.066</v>
      </c>
      <c r="Y7">
        <f t="shared" si="5"/>
        <v>1161.374</v>
      </c>
      <c r="Z7" t="str">
        <f t="shared" si="6"/>
        <v>Christine West</v>
      </c>
      <c r="AA7" s="1" t="str">
        <f t="shared" si="7"/>
        <v>Before Time</v>
      </c>
      <c r="AB7" t="str">
        <f t="shared" si="8"/>
        <v>Sep</v>
      </c>
      <c r="AC7" s="9">
        <f t="shared" si="9"/>
        <v>2024</v>
      </c>
      <c r="AD7" t="str">
        <f t="shared" si="10"/>
        <v>gmail.com</v>
      </c>
    </row>
    <row r="8" spans="1:31" x14ac:dyDescent="0.3">
      <c r="A8" t="s">
        <v>24</v>
      </c>
      <c r="B8" t="s">
        <v>124</v>
      </c>
      <c r="C8" t="s">
        <v>206</v>
      </c>
      <c r="D8">
        <v>60</v>
      </c>
      <c r="E8" t="s">
        <v>290</v>
      </c>
      <c r="F8" t="s">
        <v>291</v>
      </c>
      <c r="G8" t="s">
        <v>305</v>
      </c>
      <c r="H8" t="s">
        <v>405</v>
      </c>
      <c r="I8" t="s">
        <v>824</v>
      </c>
      <c r="J8" s="1">
        <v>45662</v>
      </c>
      <c r="K8" t="s">
        <v>1324</v>
      </c>
      <c r="L8" t="s">
        <v>1497</v>
      </c>
      <c r="M8">
        <v>308.88</v>
      </c>
      <c r="N8">
        <v>5</v>
      </c>
      <c r="O8" t="s">
        <v>1550</v>
      </c>
      <c r="P8">
        <v>5</v>
      </c>
      <c r="Q8">
        <v>47</v>
      </c>
      <c r="R8" s="1">
        <v>45665</v>
      </c>
      <c r="S8" t="s">
        <v>1875</v>
      </c>
      <c r="T8">
        <f t="shared" si="0"/>
        <v>3</v>
      </c>
      <c r="U8">
        <f t="shared" si="1"/>
        <v>1544.4</v>
      </c>
      <c r="V8">
        <f t="shared" si="2"/>
        <v>1591.4</v>
      </c>
      <c r="W8">
        <f t="shared" si="3"/>
        <v>0.2</v>
      </c>
      <c r="X8">
        <f t="shared" si="4"/>
        <v>308.88000000000005</v>
      </c>
      <c r="Y8">
        <f t="shared" si="5"/>
        <v>1282.52</v>
      </c>
      <c r="Z8" t="str">
        <f t="shared" si="6"/>
        <v>Karl Gallagher</v>
      </c>
      <c r="AA8" s="1" t="str">
        <f t="shared" si="7"/>
        <v>Before Time</v>
      </c>
      <c r="AB8" t="str">
        <f t="shared" si="8"/>
        <v>Jan</v>
      </c>
      <c r="AC8" s="9">
        <f t="shared" si="9"/>
        <v>2025</v>
      </c>
      <c r="AD8" t="str">
        <f t="shared" si="10"/>
        <v>rediffmail.com</v>
      </c>
    </row>
    <row r="9" spans="1:31" x14ac:dyDescent="0.3">
      <c r="A9" t="s">
        <v>25</v>
      </c>
      <c r="B9" t="s">
        <v>125</v>
      </c>
      <c r="C9" t="s">
        <v>207</v>
      </c>
      <c r="D9">
        <v>26</v>
      </c>
      <c r="E9" t="s">
        <v>289</v>
      </c>
      <c r="F9" t="s">
        <v>296</v>
      </c>
      <c r="G9" t="s">
        <v>306</v>
      </c>
      <c r="H9" t="s">
        <v>406</v>
      </c>
      <c r="I9" t="s">
        <v>506</v>
      </c>
      <c r="J9" s="1">
        <v>45459</v>
      </c>
      <c r="K9" t="s">
        <v>1006</v>
      </c>
      <c r="L9" t="s">
        <v>1503</v>
      </c>
      <c r="M9">
        <v>363.64</v>
      </c>
      <c r="N9">
        <v>3</v>
      </c>
      <c r="O9" t="s">
        <v>1549</v>
      </c>
      <c r="P9">
        <v>2</v>
      </c>
      <c r="Q9">
        <v>70</v>
      </c>
      <c r="R9" s="1">
        <v>45464</v>
      </c>
      <c r="S9" t="s">
        <v>1558</v>
      </c>
      <c r="T9">
        <f t="shared" si="0"/>
        <v>5</v>
      </c>
      <c r="U9">
        <f t="shared" si="1"/>
        <v>1090.92</v>
      </c>
      <c r="V9">
        <f t="shared" si="2"/>
        <v>1160.92</v>
      </c>
      <c r="W9">
        <f t="shared" si="3"/>
        <v>0.1</v>
      </c>
      <c r="X9">
        <f t="shared" si="4"/>
        <v>109.09200000000001</v>
      </c>
      <c r="Y9">
        <f t="shared" si="5"/>
        <v>1051.828</v>
      </c>
      <c r="Z9" t="str">
        <f t="shared" si="6"/>
        <v>David Delacruz</v>
      </c>
      <c r="AA9" s="1" t="str">
        <f t="shared" si="7"/>
        <v>Late</v>
      </c>
      <c r="AB9" t="str">
        <f t="shared" si="8"/>
        <v>Jun</v>
      </c>
      <c r="AC9" s="9">
        <f t="shared" si="9"/>
        <v>2024</v>
      </c>
      <c r="AD9" t="str">
        <f t="shared" si="10"/>
        <v>rediffmail.com</v>
      </c>
    </row>
    <row r="10" spans="1:31" x14ac:dyDescent="0.3">
      <c r="A10" t="s">
        <v>26</v>
      </c>
      <c r="B10" t="s">
        <v>126</v>
      </c>
      <c r="C10" t="s">
        <v>208</v>
      </c>
      <c r="D10">
        <v>39</v>
      </c>
      <c r="E10" t="s">
        <v>288</v>
      </c>
      <c r="F10" t="s">
        <v>291</v>
      </c>
      <c r="G10" t="s">
        <v>307</v>
      </c>
      <c r="H10" t="s">
        <v>407</v>
      </c>
      <c r="I10" t="s">
        <v>507</v>
      </c>
      <c r="J10" s="1">
        <v>45040</v>
      </c>
      <c r="K10" t="s">
        <v>1007</v>
      </c>
      <c r="L10" t="s">
        <v>1504</v>
      </c>
      <c r="M10">
        <v>275.44</v>
      </c>
      <c r="N10">
        <v>1</v>
      </c>
      <c r="O10" t="s">
        <v>2047</v>
      </c>
      <c r="P10">
        <v>7</v>
      </c>
      <c r="Q10">
        <v>63</v>
      </c>
      <c r="R10" s="1">
        <v>45042</v>
      </c>
      <c r="S10" t="s">
        <v>1559</v>
      </c>
      <c r="T10">
        <f t="shared" si="0"/>
        <v>2</v>
      </c>
      <c r="U10">
        <f t="shared" si="1"/>
        <v>275.44</v>
      </c>
      <c r="V10">
        <f t="shared" si="2"/>
        <v>338.44</v>
      </c>
      <c r="W10">
        <f t="shared" si="3"/>
        <v>0.08</v>
      </c>
      <c r="X10">
        <f t="shared" si="4"/>
        <v>22.0352</v>
      </c>
      <c r="Y10">
        <f t="shared" si="5"/>
        <v>316.40480000000002</v>
      </c>
      <c r="Z10" t="str">
        <f t="shared" si="6"/>
        <v>Marcus Valenzuela</v>
      </c>
      <c r="AA10" s="1" t="str">
        <f t="shared" si="7"/>
        <v>Before Time</v>
      </c>
      <c r="AB10" t="str">
        <f t="shared" si="8"/>
        <v>Apr</v>
      </c>
      <c r="AC10" s="9">
        <f t="shared" si="9"/>
        <v>2023</v>
      </c>
      <c r="AD10" t="str">
        <f t="shared" si="10"/>
        <v>yahoo.com</v>
      </c>
    </row>
    <row r="11" spans="1:31" x14ac:dyDescent="0.3">
      <c r="A11" t="s">
        <v>27</v>
      </c>
      <c r="B11" t="s">
        <v>127</v>
      </c>
      <c r="C11" t="s">
        <v>209</v>
      </c>
      <c r="D11">
        <v>48</v>
      </c>
      <c r="E11" t="s">
        <v>290</v>
      </c>
      <c r="F11" t="s">
        <v>292</v>
      </c>
      <c r="G11" t="s">
        <v>308</v>
      </c>
      <c r="H11" t="s">
        <v>408</v>
      </c>
      <c r="I11" t="s">
        <v>508</v>
      </c>
      <c r="J11" s="1">
        <v>45282</v>
      </c>
      <c r="K11" t="s">
        <v>1008</v>
      </c>
      <c r="L11" t="s">
        <v>1505</v>
      </c>
      <c r="M11">
        <v>48.45</v>
      </c>
      <c r="N11">
        <v>1</v>
      </c>
      <c r="O11" t="s">
        <v>1548</v>
      </c>
      <c r="P11">
        <v>7</v>
      </c>
      <c r="Q11">
        <v>59</v>
      </c>
      <c r="R11" s="1">
        <v>45287</v>
      </c>
      <c r="S11" t="s">
        <v>1560</v>
      </c>
      <c r="T11">
        <f t="shared" si="0"/>
        <v>5</v>
      </c>
      <c r="U11">
        <f t="shared" si="1"/>
        <v>48.45</v>
      </c>
      <c r="V11">
        <f t="shared" si="2"/>
        <v>107.45</v>
      </c>
      <c r="W11">
        <f t="shared" si="3"/>
        <v>0.15</v>
      </c>
      <c r="X11">
        <f t="shared" si="4"/>
        <v>7.2675000000000001</v>
      </c>
      <c r="Y11">
        <f t="shared" si="5"/>
        <v>100.1825</v>
      </c>
      <c r="Z11" t="str">
        <f t="shared" si="6"/>
        <v>Debra Rodriguez</v>
      </c>
      <c r="AA11" s="1" t="str">
        <f t="shared" si="7"/>
        <v>Before Time</v>
      </c>
      <c r="AB11" t="str">
        <f t="shared" si="8"/>
        <v>Dec</v>
      </c>
      <c r="AC11" s="9">
        <f t="shared" si="9"/>
        <v>2023</v>
      </c>
      <c r="AD11" t="str">
        <f t="shared" si="10"/>
        <v>rediffmail.com</v>
      </c>
    </row>
    <row r="12" spans="1:31" x14ac:dyDescent="0.3">
      <c r="A12" t="s">
        <v>24</v>
      </c>
      <c r="B12" t="s">
        <v>124</v>
      </c>
      <c r="C12" t="s">
        <v>206</v>
      </c>
      <c r="D12">
        <v>60</v>
      </c>
      <c r="E12" t="s">
        <v>290</v>
      </c>
      <c r="F12" t="s">
        <v>291</v>
      </c>
      <c r="G12" t="s">
        <v>305</v>
      </c>
      <c r="H12" t="s">
        <v>405</v>
      </c>
      <c r="I12" t="s">
        <v>827</v>
      </c>
      <c r="J12" s="1">
        <v>45588</v>
      </c>
      <c r="K12" t="s">
        <v>1327</v>
      </c>
      <c r="L12" t="s">
        <v>1503</v>
      </c>
      <c r="M12">
        <v>363.64</v>
      </c>
      <c r="N12">
        <v>4</v>
      </c>
      <c r="O12" t="s">
        <v>1547</v>
      </c>
      <c r="P12">
        <v>2</v>
      </c>
      <c r="Q12">
        <v>35</v>
      </c>
      <c r="R12" s="1">
        <v>45590</v>
      </c>
      <c r="S12" t="s">
        <v>1878</v>
      </c>
      <c r="T12">
        <f t="shared" si="0"/>
        <v>2</v>
      </c>
      <c r="U12">
        <f t="shared" si="1"/>
        <v>1454.56</v>
      </c>
      <c r="V12">
        <f t="shared" si="2"/>
        <v>1454.56</v>
      </c>
      <c r="W12">
        <f t="shared" si="3"/>
        <v>0</v>
      </c>
      <c r="X12">
        <f t="shared" si="4"/>
        <v>0</v>
      </c>
      <c r="Y12">
        <f t="shared" si="5"/>
        <v>1454.56</v>
      </c>
      <c r="Z12" t="str">
        <f t="shared" si="6"/>
        <v>Karl Gallagher</v>
      </c>
      <c r="AA12" s="1" t="str">
        <f t="shared" si="7"/>
        <v>In Time</v>
      </c>
      <c r="AB12" t="str">
        <f t="shared" si="8"/>
        <v>Oct</v>
      </c>
      <c r="AC12" s="9">
        <f t="shared" si="9"/>
        <v>2024</v>
      </c>
      <c r="AD12" t="str">
        <f t="shared" si="10"/>
        <v>rediffmail.com</v>
      </c>
    </row>
    <row r="13" spans="1:31" x14ac:dyDescent="0.3">
      <c r="A13" t="s">
        <v>28</v>
      </c>
      <c r="B13" t="s">
        <v>128</v>
      </c>
      <c r="C13" t="s">
        <v>210</v>
      </c>
      <c r="D13">
        <v>20</v>
      </c>
      <c r="E13" t="s">
        <v>288</v>
      </c>
      <c r="F13" t="s">
        <v>296</v>
      </c>
      <c r="G13" t="s">
        <v>309</v>
      </c>
      <c r="H13" t="s">
        <v>409</v>
      </c>
      <c r="I13" t="s">
        <v>510</v>
      </c>
      <c r="J13" s="1">
        <v>45498</v>
      </c>
      <c r="K13" t="s">
        <v>1010</v>
      </c>
      <c r="L13" t="s">
        <v>1507</v>
      </c>
      <c r="M13">
        <v>257.06</v>
      </c>
      <c r="N13">
        <v>3</v>
      </c>
      <c r="O13" t="s">
        <v>1547</v>
      </c>
      <c r="P13">
        <v>7</v>
      </c>
      <c r="Q13">
        <v>62</v>
      </c>
      <c r="R13" s="1">
        <v>45499</v>
      </c>
      <c r="S13" t="s">
        <v>1562</v>
      </c>
      <c r="T13">
        <f t="shared" si="0"/>
        <v>1</v>
      </c>
      <c r="U13">
        <f t="shared" si="1"/>
        <v>771.18000000000006</v>
      </c>
      <c r="V13">
        <f t="shared" si="2"/>
        <v>771.18000000000006</v>
      </c>
      <c r="W13">
        <f t="shared" si="3"/>
        <v>0</v>
      </c>
      <c r="X13">
        <f t="shared" si="4"/>
        <v>0</v>
      </c>
      <c r="Y13">
        <f t="shared" si="5"/>
        <v>771.18000000000006</v>
      </c>
      <c r="Z13" t="str">
        <f t="shared" si="6"/>
        <v>Bobby Forbes</v>
      </c>
      <c r="AA13" s="1" t="str">
        <f t="shared" si="7"/>
        <v>Before Time</v>
      </c>
      <c r="AB13" t="str">
        <f t="shared" si="8"/>
        <v>Jul</v>
      </c>
      <c r="AC13" s="9">
        <f t="shared" si="9"/>
        <v>2024</v>
      </c>
      <c r="AD13" t="str">
        <f t="shared" si="10"/>
        <v>gmail.com</v>
      </c>
    </row>
    <row r="14" spans="1:31" x14ac:dyDescent="0.3">
      <c r="A14" t="s">
        <v>29</v>
      </c>
      <c r="B14" t="s">
        <v>129</v>
      </c>
      <c r="C14" t="s">
        <v>211</v>
      </c>
      <c r="D14">
        <v>30</v>
      </c>
      <c r="E14" t="s">
        <v>289</v>
      </c>
      <c r="F14" t="s">
        <v>292</v>
      </c>
      <c r="G14" t="s">
        <v>310</v>
      </c>
      <c r="H14" t="s">
        <v>410</v>
      </c>
      <c r="I14" t="s">
        <v>511</v>
      </c>
      <c r="J14" s="1">
        <v>44997</v>
      </c>
      <c r="K14" t="s">
        <v>1011</v>
      </c>
      <c r="L14" t="s">
        <v>1508</v>
      </c>
      <c r="M14">
        <v>175.93</v>
      </c>
      <c r="N14">
        <v>4</v>
      </c>
      <c r="O14" t="s">
        <v>2047</v>
      </c>
      <c r="P14">
        <v>3</v>
      </c>
      <c r="Q14">
        <v>65</v>
      </c>
      <c r="R14" s="1">
        <v>44999</v>
      </c>
      <c r="S14" t="s">
        <v>1563</v>
      </c>
      <c r="T14">
        <f t="shared" si="0"/>
        <v>2</v>
      </c>
      <c r="U14">
        <f t="shared" si="1"/>
        <v>703.72</v>
      </c>
      <c r="V14">
        <f t="shared" si="2"/>
        <v>768.72</v>
      </c>
      <c r="W14">
        <f t="shared" si="3"/>
        <v>0.08</v>
      </c>
      <c r="X14">
        <f t="shared" si="4"/>
        <v>56.297600000000003</v>
      </c>
      <c r="Y14">
        <f t="shared" si="5"/>
        <v>712.42240000000004</v>
      </c>
      <c r="Z14" t="str">
        <f t="shared" si="6"/>
        <v>Joseph Stewart</v>
      </c>
      <c r="AA14" s="1" t="str">
        <f t="shared" si="7"/>
        <v>Before Time</v>
      </c>
      <c r="AB14" t="str">
        <f t="shared" si="8"/>
        <v>Mar</v>
      </c>
      <c r="AC14" s="9">
        <f t="shared" si="9"/>
        <v>2023</v>
      </c>
      <c r="AD14" t="str">
        <f t="shared" si="10"/>
        <v>yahoo.com</v>
      </c>
    </row>
    <row r="15" spans="1:31" x14ac:dyDescent="0.3">
      <c r="A15" t="s">
        <v>30</v>
      </c>
      <c r="B15" t="s">
        <v>130</v>
      </c>
      <c r="C15" t="s">
        <v>212</v>
      </c>
      <c r="D15">
        <v>25</v>
      </c>
      <c r="E15" t="s">
        <v>290</v>
      </c>
      <c r="F15" t="s">
        <v>294</v>
      </c>
      <c r="G15" t="s">
        <v>311</v>
      </c>
      <c r="H15" t="s">
        <v>411</v>
      </c>
      <c r="I15" t="s">
        <v>512</v>
      </c>
      <c r="J15" s="1">
        <v>45267</v>
      </c>
      <c r="K15" t="s">
        <v>1012</v>
      </c>
      <c r="L15" t="s">
        <v>1509</v>
      </c>
      <c r="M15">
        <v>190.1</v>
      </c>
      <c r="N15">
        <v>1</v>
      </c>
      <c r="O15" t="s">
        <v>1547</v>
      </c>
      <c r="P15">
        <v>1</v>
      </c>
      <c r="Q15">
        <v>70</v>
      </c>
      <c r="R15" s="1">
        <v>45270</v>
      </c>
      <c r="S15" t="s">
        <v>1564</v>
      </c>
      <c r="T15">
        <f t="shared" si="0"/>
        <v>3</v>
      </c>
      <c r="U15">
        <f t="shared" si="1"/>
        <v>190.1</v>
      </c>
      <c r="V15">
        <f t="shared" si="2"/>
        <v>190.1</v>
      </c>
      <c r="W15">
        <f t="shared" si="3"/>
        <v>0</v>
      </c>
      <c r="X15">
        <f t="shared" si="4"/>
        <v>0</v>
      </c>
      <c r="Y15">
        <f t="shared" si="5"/>
        <v>190.1</v>
      </c>
      <c r="Z15" t="str">
        <f t="shared" si="6"/>
        <v>Kara Brennan</v>
      </c>
      <c r="AA15" s="1" t="str">
        <f t="shared" si="7"/>
        <v>Late</v>
      </c>
      <c r="AB15" t="str">
        <f t="shared" si="8"/>
        <v>Dec</v>
      </c>
      <c r="AC15" s="9">
        <f t="shared" si="9"/>
        <v>2023</v>
      </c>
      <c r="AD15" t="str">
        <f t="shared" si="10"/>
        <v>outlook.com</v>
      </c>
    </row>
    <row r="16" spans="1:31" x14ac:dyDescent="0.3">
      <c r="A16" t="s">
        <v>31</v>
      </c>
      <c r="B16" t="s">
        <v>131</v>
      </c>
      <c r="C16" t="s">
        <v>213</v>
      </c>
      <c r="D16">
        <v>44</v>
      </c>
      <c r="E16" t="s">
        <v>289</v>
      </c>
      <c r="F16" t="s">
        <v>296</v>
      </c>
      <c r="G16" t="s">
        <v>312</v>
      </c>
      <c r="H16" t="s">
        <v>412</v>
      </c>
      <c r="I16" t="s">
        <v>513</v>
      </c>
      <c r="J16" s="1">
        <v>45377</v>
      </c>
      <c r="K16" t="s">
        <v>1013</v>
      </c>
      <c r="L16" t="s">
        <v>1510</v>
      </c>
      <c r="M16">
        <v>220.27</v>
      </c>
      <c r="N16">
        <v>2</v>
      </c>
      <c r="O16" t="s">
        <v>1547</v>
      </c>
      <c r="P16">
        <v>3</v>
      </c>
      <c r="Q16">
        <v>39</v>
      </c>
      <c r="R16" s="1">
        <v>45382</v>
      </c>
      <c r="S16" t="s">
        <v>1565</v>
      </c>
      <c r="T16">
        <f t="shared" si="0"/>
        <v>5</v>
      </c>
      <c r="U16">
        <f t="shared" si="1"/>
        <v>440.54</v>
      </c>
      <c r="V16">
        <f t="shared" si="2"/>
        <v>440.54</v>
      </c>
      <c r="W16">
        <f t="shared" si="3"/>
        <v>0</v>
      </c>
      <c r="X16">
        <f t="shared" si="4"/>
        <v>0</v>
      </c>
      <c r="Y16">
        <f t="shared" si="5"/>
        <v>440.54</v>
      </c>
      <c r="Z16" t="str">
        <f t="shared" si="6"/>
        <v>Amy Reid</v>
      </c>
      <c r="AA16" s="1" t="str">
        <f t="shared" si="7"/>
        <v>Late</v>
      </c>
      <c r="AB16" t="str">
        <f t="shared" si="8"/>
        <v>Mar</v>
      </c>
      <c r="AC16" s="9">
        <f t="shared" si="9"/>
        <v>2024</v>
      </c>
      <c r="AD16" t="str">
        <f t="shared" si="10"/>
        <v>rediffmail.com</v>
      </c>
    </row>
    <row r="17" spans="1:30" x14ac:dyDescent="0.3">
      <c r="A17" t="s">
        <v>32</v>
      </c>
      <c r="B17" t="s">
        <v>132</v>
      </c>
      <c r="C17" t="s">
        <v>214</v>
      </c>
      <c r="D17">
        <v>24</v>
      </c>
      <c r="E17" t="s">
        <v>288</v>
      </c>
      <c r="F17" t="s">
        <v>293</v>
      </c>
      <c r="G17" t="s">
        <v>313</v>
      </c>
      <c r="H17" t="s">
        <v>413</v>
      </c>
      <c r="I17" t="s">
        <v>514</v>
      </c>
      <c r="J17" s="1">
        <v>45079</v>
      </c>
      <c r="K17" t="s">
        <v>1014</v>
      </c>
      <c r="L17" t="s">
        <v>1501</v>
      </c>
      <c r="M17">
        <v>330.11</v>
      </c>
      <c r="N17">
        <v>4</v>
      </c>
      <c r="O17" t="s">
        <v>1547</v>
      </c>
      <c r="P17">
        <v>1</v>
      </c>
      <c r="Q17">
        <v>58</v>
      </c>
      <c r="R17" s="1">
        <v>45080</v>
      </c>
      <c r="S17" t="s">
        <v>1566</v>
      </c>
      <c r="T17">
        <f t="shared" si="0"/>
        <v>1</v>
      </c>
      <c r="U17">
        <f t="shared" si="1"/>
        <v>1320.44</v>
      </c>
      <c r="V17">
        <f t="shared" si="2"/>
        <v>1320.44</v>
      </c>
      <c r="W17">
        <f t="shared" si="3"/>
        <v>0</v>
      </c>
      <c r="X17">
        <f t="shared" si="4"/>
        <v>0</v>
      </c>
      <c r="Y17">
        <f t="shared" si="5"/>
        <v>1320.44</v>
      </c>
      <c r="Z17" t="str">
        <f t="shared" si="6"/>
        <v>Joshua Campbell</v>
      </c>
      <c r="AA17" s="1" t="str">
        <f t="shared" si="7"/>
        <v>In Time</v>
      </c>
      <c r="AB17" t="str">
        <f t="shared" si="8"/>
        <v>Jun</v>
      </c>
      <c r="AC17" s="9">
        <f t="shared" si="9"/>
        <v>2023</v>
      </c>
      <c r="AD17" t="str">
        <f t="shared" si="10"/>
        <v>gmail.com</v>
      </c>
    </row>
    <row r="18" spans="1:30" x14ac:dyDescent="0.3">
      <c r="A18" t="s">
        <v>33</v>
      </c>
      <c r="B18" t="s">
        <v>133</v>
      </c>
      <c r="C18" t="s">
        <v>215</v>
      </c>
      <c r="D18">
        <v>46</v>
      </c>
      <c r="E18" t="s">
        <v>288</v>
      </c>
      <c r="F18" t="s">
        <v>297</v>
      </c>
      <c r="G18" t="s">
        <v>314</v>
      </c>
      <c r="H18" t="s">
        <v>414</v>
      </c>
      <c r="I18" t="s">
        <v>515</v>
      </c>
      <c r="J18" s="1">
        <v>44966</v>
      </c>
      <c r="K18" t="s">
        <v>1015</v>
      </c>
      <c r="L18" t="s">
        <v>1511</v>
      </c>
      <c r="M18">
        <v>272.51</v>
      </c>
      <c r="N18">
        <v>4</v>
      </c>
      <c r="O18" t="s">
        <v>1549</v>
      </c>
      <c r="P18">
        <v>5</v>
      </c>
      <c r="Q18">
        <v>40</v>
      </c>
      <c r="R18" s="1">
        <v>44970</v>
      </c>
      <c r="S18" t="s">
        <v>1567</v>
      </c>
      <c r="T18">
        <f t="shared" si="0"/>
        <v>4</v>
      </c>
      <c r="U18">
        <f t="shared" si="1"/>
        <v>1090.04</v>
      </c>
      <c r="V18">
        <f t="shared" si="2"/>
        <v>1130.04</v>
      </c>
      <c r="W18">
        <f t="shared" si="3"/>
        <v>0.1</v>
      </c>
      <c r="X18">
        <f t="shared" si="4"/>
        <v>109.004</v>
      </c>
      <c r="Y18">
        <f t="shared" si="5"/>
        <v>1021.0359999999999</v>
      </c>
      <c r="Z18" t="str">
        <f t="shared" si="6"/>
        <v>Erin Miller</v>
      </c>
      <c r="AA18" s="1" t="str">
        <f t="shared" si="7"/>
        <v>Before Time</v>
      </c>
      <c r="AB18" t="str">
        <f t="shared" si="8"/>
        <v>Feb</v>
      </c>
      <c r="AC18" s="9">
        <f t="shared" si="9"/>
        <v>2023</v>
      </c>
      <c r="AD18" t="str">
        <f t="shared" si="10"/>
        <v>gmail.com</v>
      </c>
    </row>
    <row r="19" spans="1:30" x14ac:dyDescent="0.3">
      <c r="A19" t="s">
        <v>34</v>
      </c>
      <c r="B19" t="s">
        <v>134</v>
      </c>
      <c r="C19" t="s">
        <v>216</v>
      </c>
      <c r="D19">
        <v>36</v>
      </c>
      <c r="E19" t="s">
        <v>290</v>
      </c>
      <c r="F19" t="s">
        <v>294</v>
      </c>
      <c r="G19" t="s">
        <v>315</v>
      </c>
      <c r="H19" t="s">
        <v>415</v>
      </c>
      <c r="I19" t="s">
        <v>516</v>
      </c>
      <c r="J19" s="1">
        <v>45542</v>
      </c>
      <c r="K19" t="s">
        <v>1016</v>
      </c>
      <c r="L19" t="s">
        <v>1512</v>
      </c>
      <c r="M19">
        <v>104.18</v>
      </c>
      <c r="N19">
        <v>2</v>
      </c>
      <c r="O19" t="s">
        <v>1547</v>
      </c>
      <c r="P19">
        <v>4</v>
      </c>
      <c r="Q19">
        <v>44</v>
      </c>
      <c r="R19" s="1">
        <v>45545</v>
      </c>
      <c r="S19" t="s">
        <v>1568</v>
      </c>
      <c r="T19">
        <f t="shared" si="0"/>
        <v>3</v>
      </c>
      <c r="U19">
        <f t="shared" si="1"/>
        <v>208.36</v>
      </c>
      <c r="V19">
        <f t="shared" si="2"/>
        <v>208.36</v>
      </c>
      <c r="W19">
        <f t="shared" si="3"/>
        <v>0</v>
      </c>
      <c r="X19">
        <f t="shared" si="4"/>
        <v>0</v>
      </c>
      <c r="Y19">
        <f t="shared" si="5"/>
        <v>208.36</v>
      </c>
      <c r="Z19" t="str">
        <f t="shared" si="6"/>
        <v>Gina Moreno</v>
      </c>
      <c r="AA19" s="1" t="str">
        <f t="shared" si="7"/>
        <v>Before Time</v>
      </c>
      <c r="AB19" t="str">
        <f t="shared" si="8"/>
        <v>Sep</v>
      </c>
      <c r="AC19" s="9">
        <f t="shared" si="9"/>
        <v>2024</v>
      </c>
      <c r="AD19" t="str">
        <f t="shared" si="10"/>
        <v>rediffmail.com</v>
      </c>
    </row>
    <row r="20" spans="1:30" x14ac:dyDescent="0.3">
      <c r="A20" t="s">
        <v>35</v>
      </c>
      <c r="B20" t="s">
        <v>135</v>
      </c>
      <c r="C20" t="s">
        <v>162</v>
      </c>
      <c r="D20">
        <v>42</v>
      </c>
      <c r="E20" t="s">
        <v>289</v>
      </c>
      <c r="F20" t="s">
        <v>297</v>
      </c>
      <c r="G20" t="s">
        <v>316</v>
      </c>
      <c r="H20" t="s">
        <v>416</v>
      </c>
      <c r="I20" t="s">
        <v>517</v>
      </c>
      <c r="J20" s="1">
        <v>45665</v>
      </c>
      <c r="K20" t="s">
        <v>1017</v>
      </c>
      <c r="L20" t="s">
        <v>1505</v>
      </c>
      <c r="M20">
        <v>48.45</v>
      </c>
      <c r="N20">
        <v>4</v>
      </c>
      <c r="O20" t="s">
        <v>1549</v>
      </c>
      <c r="P20">
        <v>1</v>
      </c>
      <c r="Q20">
        <v>70</v>
      </c>
      <c r="R20" s="1">
        <v>45670</v>
      </c>
      <c r="S20" t="s">
        <v>1569</v>
      </c>
      <c r="T20">
        <f t="shared" si="0"/>
        <v>5</v>
      </c>
      <c r="U20">
        <f t="shared" si="1"/>
        <v>193.8</v>
      </c>
      <c r="V20">
        <f t="shared" si="2"/>
        <v>263.8</v>
      </c>
      <c r="W20">
        <f t="shared" si="3"/>
        <v>0.1</v>
      </c>
      <c r="X20">
        <f t="shared" si="4"/>
        <v>19.380000000000003</v>
      </c>
      <c r="Y20">
        <f t="shared" si="5"/>
        <v>244.42000000000002</v>
      </c>
      <c r="Z20" t="str">
        <f t="shared" si="6"/>
        <v>Mallory Mitchell</v>
      </c>
      <c r="AA20" s="1" t="str">
        <f t="shared" si="7"/>
        <v>Late</v>
      </c>
      <c r="AB20" t="str">
        <f t="shared" si="8"/>
        <v>Jan</v>
      </c>
      <c r="AC20" s="9">
        <f t="shared" si="9"/>
        <v>2025</v>
      </c>
      <c r="AD20" t="str">
        <f t="shared" si="10"/>
        <v>yahoo.com</v>
      </c>
    </row>
    <row r="21" spans="1:30" x14ac:dyDescent="0.3">
      <c r="A21" t="s">
        <v>36</v>
      </c>
      <c r="B21" t="s">
        <v>136</v>
      </c>
      <c r="C21" t="s">
        <v>217</v>
      </c>
      <c r="D21">
        <v>34</v>
      </c>
      <c r="E21" t="s">
        <v>288</v>
      </c>
      <c r="F21" t="s">
        <v>296</v>
      </c>
      <c r="G21" t="s">
        <v>317</v>
      </c>
      <c r="H21" t="s">
        <v>417</v>
      </c>
      <c r="I21" t="s">
        <v>518</v>
      </c>
      <c r="J21" s="1">
        <v>45556</v>
      </c>
      <c r="K21" t="s">
        <v>1018</v>
      </c>
      <c r="L21" t="s">
        <v>1513</v>
      </c>
      <c r="M21">
        <v>20.7</v>
      </c>
      <c r="N21">
        <v>5</v>
      </c>
      <c r="O21" t="s">
        <v>1547</v>
      </c>
      <c r="P21">
        <v>7</v>
      </c>
      <c r="Q21">
        <v>38</v>
      </c>
      <c r="R21" s="1">
        <v>45561</v>
      </c>
      <c r="S21" t="s">
        <v>1570</v>
      </c>
      <c r="T21">
        <f t="shared" si="0"/>
        <v>5</v>
      </c>
      <c r="U21">
        <f t="shared" si="1"/>
        <v>103.5</v>
      </c>
      <c r="V21">
        <f t="shared" si="2"/>
        <v>103.5</v>
      </c>
      <c r="W21">
        <f t="shared" si="3"/>
        <v>0</v>
      </c>
      <c r="X21">
        <f t="shared" si="4"/>
        <v>0</v>
      </c>
      <c r="Y21">
        <f t="shared" si="5"/>
        <v>103.5</v>
      </c>
      <c r="Z21" t="str">
        <f t="shared" si="6"/>
        <v>Traci Jones</v>
      </c>
      <c r="AA21" s="1" t="str">
        <f t="shared" si="7"/>
        <v>Before Time</v>
      </c>
      <c r="AB21" t="str">
        <f t="shared" si="8"/>
        <v>Sep</v>
      </c>
      <c r="AC21" s="9">
        <f t="shared" si="9"/>
        <v>2024</v>
      </c>
      <c r="AD21" t="str">
        <f t="shared" si="10"/>
        <v>yahoo.com</v>
      </c>
    </row>
    <row r="22" spans="1:30" x14ac:dyDescent="0.3">
      <c r="A22" t="s">
        <v>37</v>
      </c>
      <c r="B22" t="s">
        <v>137</v>
      </c>
      <c r="C22" t="s">
        <v>218</v>
      </c>
      <c r="D22">
        <v>23</v>
      </c>
      <c r="E22" t="s">
        <v>288</v>
      </c>
      <c r="F22" t="s">
        <v>296</v>
      </c>
      <c r="G22" t="s">
        <v>318</v>
      </c>
      <c r="H22" t="s">
        <v>418</v>
      </c>
      <c r="I22" t="s">
        <v>519</v>
      </c>
      <c r="J22" s="1">
        <v>45520</v>
      </c>
      <c r="K22" t="s">
        <v>1019</v>
      </c>
      <c r="L22" t="s">
        <v>1497</v>
      </c>
      <c r="M22">
        <v>308.88</v>
      </c>
      <c r="N22">
        <v>3</v>
      </c>
      <c r="O22" t="s">
        <v>1549</v>
      </c>
      <c r="P22">
        <v>7</v>
      </c>
      <c r="Q22">
        <v>43</v>
      </c>
      <c r="R22" s="1">
        <v>45521</v>
      </c>
      <c r="S22" t="s">
        <v>1571</v>
      </c>
      <c r="T22">
        <f t="shared" si="0"/>
        <v>1</v>
      </c>
      <c r="U22">
        <f t="shared" si="1"/>
        <v>926.64</v>
      </c>
      <c r="V22">
        <f t="shared" si="2"/>
        <v>969.64</v>
      </c>
      <c r="W22">
        <f t="shared" si="3"/>
        <v>0.1</v>
      </c>
      <c r="X22">
        <f t="shared" si="4"/>
        <v>92.664000000000001</v>
      </c>
      <c r="Y22">
        <f t="shared" si="5"/>
        <v>876.976</v>
      </c>
      <c r="Z22" t="str">
        <f t="shared" si="6"/>
        <v>Deborah Bates</v>
      </c>
      <c r="AA22" s="1" t="str">
        <f t="shared" si="7"/>
        <v>Before Time</v>
      </c>
      <c r="AB22" t="str">
        <f t="shared" si="8"/>
        <v>Aug</v>
      </c>
      <c r="AC22" s="9">
        <f t="shared" si="9"/>
        <v>2024</v>
      </c>
      <c r="AD22" t="str">
        <f t="shared" si="10"/>
        <v>yahoo.com</v>
      </c>
    </row>
    <row r="23" spans="1:30" x14ac:dyDescent="0.3">
      <c r="A23" t="s">
        <v>38</v>
      </c>
      <c r="B23" t="s">
        <v>138</v>
      </c>
      <c r="C23" t="s">
        <v>219</v>
      </c>
      <c r="D23">
        <v>39</v>
      </c>
      <c r="E23" t="s">
        <v>289</v>
      </c>
      <c r="F23" t="s">
        <v>293</v>
      </c>
      <c r="G23" t="s">
        <v>319</v>
      </c>
      <c r="H23" t="s">
        <v>419</v>
      </c>
      <c r="I23" t="s">
        <v>520</v>
      </c>
      <c r="J23" s="1">
        <v>45352</v>
      </c>
      <c r="K23" t="s">
        <v>1020</v>
      </c>
      <c r="L23" t="s">
        <v>1512</v>
      </c>
      <c r="M23">
        <v>104.18</v>
      </c>
      <c r="N23">
        <v>5</v>
      </c>
      <c r="O23" t="s">
        <v>2047</v>
      </c>
      <c r="P23">
        <v>5</v>
      </c>
      <c r="Q23">
        <v>58</v>
      </c>
      <c r="R23" s="1">
        <v>45356</v>
      </c>
      <c r="S23" t="s">
        <v>1572</v>
      </c>
      <c r="T23">
        <f t="shared" si="0"/>
        <v>4</v>
      </c>
      <c r="U23">
        <f t="shared" si="1"/>
        <v>520.90000000000009</v>
      </c>
      <c r="V23">
        <f t="shared" si="2"/>
        <v>578.90000000000009</v>
      </c>
      <c r="W23">
        <f t="shared" si="3"/>
        <v>0.08</v>
      </c>
      <c r="X23">
        <f t="shared" si="4"/>
        <v>41.672000000000011</v>
      </c>
      <c r="Y23">
        <f t="shared" si="5"/>
        <v>537.22800000000007</v>
      </c>
      <c r="Z23" t="str">
        <f t="shared" si="6"/>
        <v>Christian Clayton</v>
      </c>
      <c r="AA23" s="1" t="str">
        <f t="shared" si="7"/>
        <v>Before Time</v>
      </c>
      <c r="AB23" t="str">
        <f t="shared" si="8"/>
        <v>Mar</v>
      </c>
      <c r="AC23" s="9">
        <f t="shared" si="9"/>
        <v>2024</v>
      </c>
      <c r="AD23" t="str">
        <f t="shared" si="10"/>
        <v>yahoo.com</v>
      </c>
    </row>
    <row r="24" spans="1:30" x14ac:dyDescent="0.3">
      <c r="A24" t="s">
        <v>39</v>
      </c>
      <c r="B24" t="s">
        <v>139</v>
      </c>
      <c r="C24" t="s">
        <v>220</v>
      </c>
      <c r="D24">
        <v>33</v>
      </c>
      <c r="E24" t="s">
        <v>290</v>
      </c>
      <c r="F24" t="s">
        <v>298</v>
      </c>
      <c r="G24" t="s">
        <v>320</v>
      </c>
      <c r="H24" t="s">
        <v>420</v>
      </c>
      <c r="I24" t="s">
        <v>521</v>
      </c>
      <c r="J24" s="1">
        <v>45125</v>
      </c>
      <c r="K24" t="s">
        <v>1021</v>
      </c>
      <c r="L24" t="s">
        <v>1514</v>
      </c>
      <c r="M24">
        <v>461.07</v>
      </c>
      <c r="N24">
        <v>1</v>
      </c>
      <c r="O24" t="s">
        <v>2047</v>
      </c>
      <c r="P24">
        <v>1</v>
      </c>
      <c r="Q24">
        <v>56</v>
      </c>
      <c r="R24" s="1">
        <v>45126</v>
      </c>
      <c r="S24" t="s">
        <v>1573</v>
      </c>
      <c r="T24">
        <f t="shared" si="0"/>
        <v>1</v>
      </c>
      <c r="U24">
        <f t="shared" si="1"/>
        <v>461.07</v>
      </c>
      <c r="V24">
        <f t="shared" si="2"/>
        <v>517.06999999999994</v>
      </c>
      <c r="W24">
        <f t="shared" si="3"/>
        <v>0.08</v>
      </c>
      <c r="X24">
        <f t="shared" si="4"/>
        <v>36.885600000000004</v>
      </c>
      <c r="Y24">
        <f t="shared" si="5"/>
        <v>480.18439999999993</v>
      </c>
      <c r="Z24" t="str">
        <f t="shared" si="6"/>
        <v>Mark Henderson</v>
      </c>
      <c r="AA24" s="1" t="str">
        <f t="shared" si="7"/>
        <v>In Time</v>
      </c>
      <c r="AB24" t="str">
        <f t="shared" si="8"/>
        <v>Jul</v>
      </c>
      <c r="AC24" s="9">
        <f t="shared" si="9"/>
        <v>2023</v>
      </c>
      <c r="AD24" t="str">
        <f t="shared" si="10"/>
        <v>yahoo.com</v>
      </c>
    </row>
    <row r="25" spans="1:30" x14ac:dyDescent="0.3">
      <c r="A25" t="s">
        <v>40</v>
      </c>
      <c r="B25" t="s">
        <v>121</v>
      </c>
      <c r="C25" t="s">
        <v>221</v>
      </c>
      <c r="D25">
        <v>64</v>
      </c>
      <c r="E25" t="s">
        <v>289</v>
      </c>
      <c r="F25" t="s">
        <v>292</v>
      </c>
      <c r="G25" t="s">
        <v>321</v>
      </c>
      <c r="H25" t="s">
        <v>421</v>
      </c>
      <c r="I25" t="s">
        <v>522</v>
      </c>
      <c r="J25" s="1">
        <v>45194</v>
      </c>
      <c r="K25" t="s">
        <v>1022</v>
      </c>
      <c r="L25" t="s">
        <v>1515</v>
      </c>
      <c r="M25">
        <v>132.97</v>
      </c>
      <c r="N25">
        <v>1</v>
      </c>
      <c r="O25" t="s">
        <v>1548</v>
      </c>
      <c r="P25">
        <v>4</v>
      </c>
      <c r="Q25">
        <v>55</v>
      </c>
      <c r="R25" s="1">
        <v>45198</v>
      </c>
      <c r="S25" t="s">
        <v>1574</v>
      </c>
      <c r="T25">
        <f t="shared" si="0"/>
        <v>4</v>
      </c>
      <c r="U25">
        <f t="shared" si="1"/>
        <v>132.97</v>
      </c>
      <c r="V25">
        <f t="shared" si="2"/>
        <v>187.97</v>
      </c>
      <c r="W25">
        <f t="shared" si="3"/>
        <v>0.15</v>
      </c>
      <c r="X25">
        <f t="shared" si="4"/>
        <v>19.945499999999999</v>
      </c>
      <c r="Y25">
        <f t="shared" si="5"/>
        <v>168.02449999999999</v>
      </c>
      <c r="Z25" t="str">
        <f t="shared" si="6"/>
        <v>John Herrera</v>
      </c>
      <c r="AA25" s="1" t="str">
        <f t="shared" si="7"/>
        <v>In Time</v>
      </c>
      <c r="AB25" t="str">
        <f t="shared" si="8"/>
        <v>Sep</v>
      </c>
      <c r="AC25" s="9">
        <f t="shared" si="9"/>
        <v>2023</v>
      </c>
      <c r="AD25" t="str">
        <f t="shared" si="10"/>
        <v>outlook.com</v>
      </c>
    </row>
    <row r="26" spans="1:30" x14ac:dyDescent="0.3">
      <c r="A26" t="s">
        <v>41</v>
      </c>
      <c r="B26" t="s">
        <v>122</v>
      </c>
      <c r="C26" t="s">
        <v>222</v>
      </c>
      <c r="D26">
        <v>52</v>
      </c>
      <c r="E26" t="s">
        <v>290</v>
      </c>
      <c r="F26" t="s">
        <v>292</v>
      </c>
      <c r="G26" t="s">
        <v>322</v>
      </c>
      <c r="H26" t="s">
        <v>422</v>
      </c>
      <c r="I26" t="s">
        <v>523</v>
      </c>
      <c r="J26" s="1">
        <v>45146</v>
      </c>
      <c r="K26" t="s">
        <v>1023</v>
      </c>
      <c r="L26" t="s">
        <v>1516</v>
      </c>
      <c r="M26">
        <v>126.19</v>
      </c>
      <c r="N26">
        <v>2</v>
      </c>
      <c r="O26" t="s">
        <v>1547</v>
      </c>
      <c r="P26">
        <v>3</v>
      </c>
      <c r="Q26">
        <v>63</v>
      </c>
      <c r="R26" s="1">
        <v>45150</v>
      </c>
      <c r="S26" t="s">
        <v>1575</v>
      </c>
      <c r="T26">
        <f t="shared" si="0"/>
        <v>4</v>
      </c>
      <c r="U26">
        <f t="shared" si="1"/>
        <v>252.38</v>
      </c>
      <c r="V26">
        <f t="shared" si="2"/>
        <v>252.38</v>
      </c>
      <c r="W26">
        <f t="shared" si="3"/>
        <v>0</v>
      </c>
      <c r="X26">
        <f t="shared" si="4"/>
        <v>0</v>
      </c>
      <c r="Y26">
        <f t="shared" si="5"/>
        <v>252.38</v>
      </c>
      <c r="Z26" t="str">
        <f t="shared" si="6"/>
        <v>Angela Evans</v>
      </c>
      <c r="AA26" s="1" t="str">
        <f t="shared" si="7"/>
        <v>Late</v>
      </c>
      <c r="AB26" t="str">
        <f t="shared" si="8"/>
        <v>Aug</v>
      </c>
      <c r="AC26" s="9">
        <f t="shared" si="9"/>
        <v>2023</v>
      </c>
      <c r="AD26" t="str">
        <f t="shared" si="10"/>
        <v>outlook.com</v>
      </c>
    </row>
    <row r="27" spans="1:30" x14ac:dyDescent="0.3">
      <c r="A27" t="s">
        <v>41</v>
      </c>
      <c r="B27" t="s">
        <v>122</v>
      </c>
      <c r="C27" t="s">
        <v>222</v>
      </c>
      <c r="D27">
        <v>52</v>
      </c>
      <c r="E27" t="s">
        <v>290</v>
      </c>
      <c r="F27" t="s">
        <v>292</v>
      </c>
      <c r="G27" t="s">
        <v>322</v>
      </c>
      <c r="H27" t="s">
        <v>422</v>
      </c>
      <c r="I27" t="s">
        <v>524</v>
      </c>
      <c r="J27" s="1">
        <v>45138</v>
      </c>
      <c r="K27" t="s">
        <v>1024</v>
      </c>
      <c r="L27" t="s">
        <v>1517</v>
      </c>
      <c r="M27">
        <v>282.63</v>
      </c>
      <c r="N27">
        <v>3</v>
      </c>
      <c r="O27" t="s">
        <v>1547</v>
      </c>
      <c r="P27">
        <v>2</v>
      </c>
      <c r="Q27">
        <v>40</v>
      </c>
      <c r="R27" s="1">
        <v>45142</v>
      </c>
      <c r="S27" t="s">
        <v>1576</v>
      </c>
      <c r="T27">
        <f t="shared" si="0"/>
        <v>4</v>
      </c>
      <c r="U27">
        <f t="shared" si="1"/>
        <v>847.89</v>
      </c>
      <c r="V27">
        <f t="shared" si="2"/>
        <v>847.89</v>
      </c>
      <c r="W27">
        <f t="shared" si="3"/>
        <v>0</v>
      </c>
      <c r="X27">
        <f t="shared" si="4"/>
        <v>0</v>
      </c>
      <c r="Y27">
        <f t="shared" si="5"/>
        <v>847.89</v>
      </c>
      <c r="Z27" t="str">
        <f t="shared" si="6"/>
        <v>Angela Evans</v>
      </c>
      <c r="AA27" s="1" t="str">
        <f t="shared" si="7"/>
        <v>Late</v>
      </c>
      <c r="AB27" t="str">
        <f t="shared" si="8"/>
        <v>Jul</v>
      </c>
      <c r="AC27" s="9">
        <f t="shared" si="9"/>
        <v>2023</v>
      </c>
      <c r="AD27" t="str">
        <f t="shared" si="10"/>
        <v>outlook.com</v>
      </c>
    </row>
    <row r="28" spans="1:30" x14ac:dyDescent="0.3">
      <c r="A28" t="s">
        <v>28</v>
      </c>
      <c r="B28" t="s">
        <v>128</v>
      </c>
      <c r="C28" t="s">
        <v>210</v>
      </c>
      <c r="D28">
        <v>20</v>
      </c>
      <c r="E28" t="s">
        <v>288</v>
      </c>
      <c r="F28" t="s">
        <v>296</v>
      </c>
      <c r="G28" t="s">
        <v>309</v>
      </c>
      <c r="H28" t="s">
        <v>409</v>
      </c>
      <c r="I28" t="s">
        <v>744</v>
      </c>
      <c r="J28" s="1">
        <v>45066</v>
      </c>
      <c r="K28" t="s">
        <v>1244</v>
      </c>
      <c r="L28" t="s">
        <v>1529</v>
      </c>
      <c r="M28">
        <v>128.13999999999999</v>
      </c>
      <c r="N28">
        <v>3</v>
      </c>
      <c r="O28" t="s">
        <v>2047</v>
      </c>
      <c r="P28">
        <v>4</v>
      </c>
      <c r="Q28">
        <v>70</v>
      </c>
      <c r="R28" s="1">
        <v>45069</v>
      </c>
      <c r="S28" t="s">
        <v>1795</v>
      </c>
      <c r="T28">
        <f t="shared" si="0"/>
        <v>3</v>
      </c>
      <c r="U28">
        <f t="shared" si="1"/>
        <v>384.41999999999996</v>
      </c>
      <c r="V28">
        <f t="shared" si="2"/>
        <v>454.41999999999996</v>
      </c>
      <c r="W28">
        <f t="shared" si="3"/>
        <v>0.08</v>
      </c>
      <c r="X28">
        <f t="shared" si="4"/>
        <v>30.753599999999999</v>
      </c>
      <c r="Y28">
        <f t="shared" si="5"/>
        <v>423.66639999999995</v>
      </c>
      <c r="Z28" t="str">
        <f t="shared" si="6"/>
        <v>Bobby Forbes</v>
      </c>
      <c r="AA28" s="1" t="str">
        <f t="shared" si="7"/>
        <v>Before Time</v>
      </c>
      <c r="AB28" t="str">
        <f t="shared" si="8"/>
        <v>May</v>
      </c>
      <c r="AC28" s="9">
        <f t="shared" si="9"/>
        <v>2023</v>
      </c>
      <c r="AD28" t="str">
        <f t="shared" si="10"/>
        <v>gmail.com</v>
      </c>
    </row>
    <row r="29" spans="1:30" x14ac:dyDescent="0.3">
      <c r="A29" t="s">
        <v>28</v>
      </c>
      <c r="B29" t="s">
        <v>128</v>
      </c>
      <c r="C29" t="s">
        <v>210</v>
      </c>
      <c r="D29">
        <v>20</v>
      </c>
      <c r="E29" t="s">
        <v>288</v>
      </c>
      <c r="F29" t="s">
        <v>296</v>
      </c>
      <c r="G29" t="s">
        <v>309</v>
      </c>
      <c r="H29" t="s">
        <v>409</v>
      </c>
      <c r="I29" t="s">
        <v>781</v>
      </c>
      <c r="J29" s="1">
        <v>45185</v>
      </c>
      <c r="K29" t="s">
        <v>1281</v>
      </c>
      <c r="L29" t="s">
        <v>1503</v>
      </c>
      <c r="M29">
        <v>363.64</v>
      </c>
      <c r="N29">
        <v>3</v>
      </c>
      <c r="O29" t="s">
        <v>1550</v>
      </c>
      <c r="P29">
        <v>5</v>
      </c>
      <c r="Q29">
        <v>39</v>
      </c>
      <c r="R29" s="1">
        <v>45189</v>
      </c>
      <c r="S29" t="s">
        <v>1832</v>
      </c>
      <c r="T29">
        <f t="shared" si="0"/>
        <v>4</v>
      </c>
      <c r="U29">
        <f t="shared" si="1"/>
        <v>1090.92</v>
      </c>
      <c r="V29">
        <f t="shared" si="2"/>
        <v>1129.92</v>
      </c>
      <c r="W29">
        <f t="shared" si="3"/>
        <v>0.2</v>
      </c>
      <c r="X29">
        <f t="shared" si="4"/>
        <v>218.18400000000003</v>
      </c>
      <c r="Y29">
        <f t="shared" si="5"/>
        <v>911.7360000000001</v>
      </c>
      <c r="Z29" t="str">
        <f t="shared" si="6"/>
        <v>Bobby Forbes</v>
      </c>
      <c r="AA29" s="1" t="str">
        <f t="shared" si="7"/>
        <v>Before Time</v>
      </c>
      <c r="AB29" t="str">
        <f t="shared" si="8"/>
        <v>Sep</v>
      </c>
      <c r="AC29" s="9">
        <f t="shared" si="9"/>
        <v>2023</v>
      </c>
      <c r="AD29" t="str">
        <f t="shared" si="10"/>
        <v>gmail.com</v>
      </c>
    </row>
    <row r="30" spans="1:30" x14ac:dyDescent="0.3">
      <c r="A30" t="s">
        <v>44</v>
      </c>
      <c r="B30" t="s">
        <v>142</v>
      </c>
      <c r="C30" t="s">
        <v>225</v>
      </c>
      <c r="D30">
        <v>60</v>
      </c>
      <c r="E30" t="s">
        <v>290</v>
      </c>
      <c r="F30" t="s">
        <v>291</v>
      </c>
      <c r="G30" t="s">
        <v>325</v>
      </c>
      <c r="H30" t="s">
        <v>425</v>
      </c>
      <c r="I30" t="s">
        <v>527</v>
      </c>
      <c r="J30" s="1">
        <v>44987</v>
      </c>
      <c r="K30" t="s">
        <v>1027</v>
      </c>
      <c r="L30" t="s">
        <v>1503</v>
      </c>
      <c r="M30">
        <v>363.64</v>
      </c>
      <c r="N30">
        <v>2</v>
      </c>
      <c r="O30" t="s">
        <v>1548</v>
      </c>
      <c r="P30">
        <v>1</v>
      </c>
      <c r="Q30">
        <v>43</v>
      </c>
      <c r="R30" s="1">
        <v>44988</v>
      </c>
      <c r="S30" t="s">
        <v>1579</v>
      </c>
      <c r="T30">
        <f t="shared" si="0"/>
        <v>1</v>
      </c>
      <c r="U30">
        <f t="shared" si="1"/>
        <v>727.28</v>
      </c>
      <c r="V30">
        <f t="shared" si="2"/>
        <v>770.28</v>
      </c>
      <c r="W30">
        <f t="shared" si="3"/>
        <v>0.15</v>
      </c>
      <c r="X30">
        <f t="shared" si="4"/>
        <v>109.092</v>
      </c>
      <c r="Y30">
        <f t="shared" si="5"/>
        <v>661.18799999999999</v>
      </c>
      <c r="Z30" t="str">
        <f t="shared" si="6"/>
        <v>Ashley Rose</v>
      </c>
      <c r="AA30" s="1" t="str">
        <f t="shared" si="7"/>
        <v>In Time</v>
      </c>
      <c r="AB30" t="str">
        <f t="shared" si="8"/>
        <v>Mar</v>
      </c>
      <c r="AC30" s="9">
        <f t="shared" si="9"/>
        <v>2023</v>
      </c>
      <c r="AD30" t="str">
        <f t="shared" si="10"/>
        <v>gmail.com</v>
      </c>
    </row>
    <row r="31" spans="1:30" x14ac:dyDescent="0.3">
      <c r="A31" t="s">
        <v>45</v>
      </c>
      <c r="B31" t="s">
        <v>143</v>
      </c>
      <c r="C31" t="s">
        <v>226</v>
      </c>
      <c r="D31">
        <v>54</v>
      </c>
      <c r="E31" t="s">
        <v>289</v>
      </c>
      <c r="F31" t="s">
        <v>291</v>
      </c>
      <c r="G31" t="s">
        <v>326</v>
      </c>
      <c r="H31" t="s">
        <v>426</v>
      </c>
      <c r="I31" t="s">
        <v>528</v>
      </c>
      <c r="J31" s="1">
        <v>45224</v>
      </c>
      <c r="K31" t="s">
        <v>1028</v>
      </c>
      <c r="L31" t="s">
        <v>1520</v>
      </c>
      <c r="M31">
        <v>62.42</v>
      </c>
      <c r="N31">
        <v>1</v>
      </c>
      <c r="O31" t="s">
        <v>1547</v>
      </c>
      <c r="P31">
        <v>3</v>
      </c>
      <c r="Q31">
        <v>58</v>
      </c>
      <c r="R31" s="1">
        <v>45229</v>
      </c>
      <c r="S31" t="s">
        <v>1580</v>
      </c>
      <c r="T31">
        <f t="shared" si="0"/>
        <v>5</v>
      </c>
      <c r="U31">
        <f t="shared" si="1"/>
        <v>62.42</v>
      </c>
      <c r="V31">
        <f t="shared" si="2"/>
        <v>62.42</v>
      </c>
      <c r="W31">
        <f t="shared" si="3"/>
        <v>0</v>
      </c>
      <c r="X31">
        <f t="shared" si="4"/>
        <v>0</v>
      </c>
      <c r="Y31">
        <f t="shared" si="5"/>
        <v>62.42</v>
      </c>
      <c r="Z31" t="str">
        <f t="shared" si="6"/>
        <v>Taylor Davis</v>
      </c>
      <c r="AA31" s="1" t="str">
        <f t="shared" si="7"/>
        <v>Late</v>
      </c>
      <c r="AB31" t="str">
        <f t="shared" si="8"/>
        <v>Oct</v>
      </c>
      <c r="AC31" s="9">
        <f t="shared" si="9"/>
        <v>2023</v>
      </c>
      <c r="AD31" t="str">
        <f t="shared" si="10"/>
        <v>yahoo.com</v>
      </c>
    </row>
    <row r="32" spans="1:30" x14ac:dyDescent="0.3">
      <c r="A32" t="s">
        <v>46</v>
      </c>
      <c r="B32" t="s">
        <v>144</v>
      </c>
      <c r="C32" t="s">
        <v>227</v>
      </c>
      <c r="D32">
        <v>44</v>
      </c>
      <c r="E32" t="s">
        <v>288</v>
      </c>
      <c r="F32" t="s">
        <v>298</v>
      </c>
      <c r="G32" t="s">
        <v>327</v>
      </c>
      <c r="H32" t="s">
        <v>427</v>
      </c>
      <c r="I32" t="s">
        <v>529</v>
      </c>
      <c r="J32" s="1">
        <v>45389</v>
      </c>
      <c r="K32" t="s">
        <v>1029</v>
      </c>
      <c r="L32" t="s">
        <v>1515</v>
      </c>
      <c r="M32">
        <v>132.97</v>
      </c>
      <c r="N32">
        <v>1</v>
      </c>
      <c r="O32" t="s">
        <v>1547</v>
      </c>
      <c r="P32">
        <v>6</v>
      </c>
      <c r="Q32">
        <v>57</v>
      </c>
      <c r="R32" s="1">
        <v>45396</v>
      </c>
      <c r="S32" t="s">
        <v>1581</v>
      </c>
      <c r="T32">
        <f t="shared" si="0"/>
        <v>7</v>
      </c>
      <c r="U32">
        <f t="shared" si="1"/>
        <v>132.97</v>
      </c>
      <c r="V32">
        <f t="shared" si="2"/>
        <v>132.97</v>
      </c>
      <c r="W32">
        <f t="shared" si="3"/>
        <v>0</v>
      </c>
      <c r="X32">
        <f t="shared" si="4"/>
        <v>0</v>
      </c>
      <c r="Y32">
        <f t="shared" si="5"/>
        <v>132.97</v>
      </c>
      <c r="Z32" t="str">
        <f t="shared" si="6"/>
        <v>Lauren Long</v>
      </c>
      <c r="AA32" s="1" t="str">
        <f t="shared" si="7"/>
        <v>Late</v>
      </c>
      <c r="AB32" t="str">
        <f t="shared" si="8"/>
        <v>Apr</v>
      </c>
      <c r="AC32" s="9">
        <f t="shared" si="9"/>
        <v>2024</v>
      </c>
      <c r="AD32" t="str">
        <f t="shared" si="10"/>
        <v>gmail.com</v>
      </c>
    </row>
    <row r="33" spans="1:30" x14ac:dyDescent="0.3">
      <c r="A33" t="s">
        <v>100</v>
      </c>
      <c r="B33" t="s">
        <v>188</v>
      </c>
      <c r="C33" t="s">
        <v>274</v>
      </c>
      <c r="D33">
        <v>64</v>
      </c>
      <c r="E33" t="s">
        <v>290</v>
      </c>
      <c r="F33" t="s">
        <v>291</v>
      </c>
      <c r="G33" t="s">
        <v>381</v>
      </c>
      <c r="H33" t="s">
        <v>481</v>
      </c>
      <c r="I33" t="s">
        <v>670</v>
      </c>
      <c r="J33" s="1">
        <v>45039</v>
      </c>
      <c r="K33" t="s">
        <v>1170</v>
      </c>
      <c r="L33" t="s">
        <v>1524</v>
      </c>
      <c r="M33">
        <v>157.63999999999999</v>
      </c>
      <c r="N33">
        <v>4</v>
      </c>
      <c r="O33" t="s">
        <v>1550</v>
      </c>
      <c r="P33">
        <v>7</v>
      </c>
      <c r="Q33">
        <v>59</v>
      </c>
      <c r="R33" s="1">
        <v>45046</v>
      </c>
      <c r="S33" t="s">
        <v>1722</v>
      </c>
      <c r="T33">
        <f t="shared" si="0"/>
        <v>7</v>
      </c>
      <c r="U33">
        <f t="shared" si="1"/>
        <v>630.55999999999995</v>
      </c>
      <c r="V33">
        <f t="shared" si="2"/>
        <v>689.56</v>
      </c>
      <c r="W33">
        <f t="shared" si="3"/>
        <v>0.2</v>
      </c>
      <c r="X33">
        <f t="shared" si="4"/>
        <v>126.11199999999999</v>
      </c>
      <c r="Y33">
        <f t="shared" si="5"/>
        <v>563.44799999999998</v>
      </c>
      <c r="Z33" t="str">
        <f t="shared" si="6"/>
        <v>Teresa Harvey</v>
      </c>
      <c r="AA33" s="1" t="str">
        <f t="shared" si="7"/>
        <v>In Time</v>
      </c>
      <c r="AB33" t="str">
        <f t="shared" si="8"/>
        <v>Apr</v>
      </c>
      <c r="AC33" s="9">
        <f t="shared" si="9"/>
        <v>2023</v>
      </c>
      <c r="AD33" t="str">
        <f t="shared" si="10"/>
        <v>gmail.com</v>
      </c>
    </row>
    <row r="34" spans="1:30" x14ac:dyDescent="0.3">
      <c r="A34" t="s">
        <v>46</v>
      </c>
      <c r="B34" t="s">
        <v>144</v>
      </c>
      <c r="C34" t="s">
        <v>227</v>
      </c>
      <c r="D34">
        <v>44</v>
      </c>
      <c r="E34" t="s">
        <v>288</v>
      </c>
      <c r="F34" t="s">
        <v>298</v>
      </c>
      <c r="G34" t="s">
        <v>327</v>
      </c>
      <c r="H34" t="s">
        <v>427</v>
      </c>
      <c r="I34" t="s">
        <v>531</v>
      </c>
      <c r="J34" s="1">
        <v>45548</v>
      </c>
      <c r="K34" t="s">
        <v>1031</v>
      </c>
      <c r="L34" t="s">
        <v>1522</v>
      </c>
      <c r="M34">
        <v>158.53</v>
      </c>
      <c r="N34">
        <v>5</v>
      </c>
      <c r="O34" t="s">
        <v>1550</v>
      </c>
      <c r="P34">
        <v>3</v>
      </c>
      <c r="Q34">
        <v>42</v>
      </c>
      <c r="R34" s="1">
        <v>45553</v>
      </c>
      <c r="S34" t="s">
        <v>1583</v>
      </c>
      <c r="T34">
        <f t="shared" si="0"/>
        <v>5</v>
      </c>
      <c r="U34">
        <f t="shared" si="1"/>
        <v>792.65</v>
      </c>
      <c r="V34">
        <f t="shared" si="2"/>
        <v>834.65</v>
      </c>
      <c r="W34">
        <f t="shared" si="3"/>
        <v>0.2</v>
      </c>
      <c r="X34">
        <f t="shared" si="4"/>
        <v>158.53</v>
      </c>
      <c r="Y34">
        <f t="shared" si="5"/>
        <v>676.12</v>
      </c>
      <c r="Z34" t="str">
        <f t="shared" si="6"/>
        <v>Lauren Long</v>
      </c>
      <c r="AA34" s="1" t="str">
        <f t="shared" si="7"/>
        <v>Late</v>
      </c>
      <c r="AB34" t="str">
        <f t="shared" si="8"/>
        <v>Sep</v>
      </c>
      <c r="AC34" s="9">
        <f t="shared" si="9"/>
        <v>2024</v>
      </c>
      <c r="AD34" t="str">
        <f t="shared" si="10"/>
        <v>gmail.com</v>
      </c>
    </row>
    <row r="35" spans="1:30" x14ac:dyDescent="0.3">
      <c r="A35" t="s">
        <v>48</v>
      </c>
      <c r="B35" t="s">
        <v>146</v>
      </c>
      <c r="C35" t="s">
        <v>229</v>
      </c>
      <c r="D35">
        <v>48</v>
      </c>
      <c r="E35" t="s">
        <v>289</v>
      </c>
      <c r="F35" t="s">
        <v>296</v>
      </c>
      <c r="G35" t="s">
        <v>329</v>
      </c>
      <c r="H35" t="s">
        <v>429</v>
      </c>
      <c r="I35" t="s">
        <v>532</v>
      </c>
      <c r="J35" s="1">
        <v>45407</v>
      </c>
      <c r="K35" t="s">
        <v>1032</v>
      </c>
      <c r="L35" t="s">
        <v>1520</v>
      </c>
      <c r="M35">
        <v>62.42</v>
      </c>
      <c r="N35">
        <v>3</v>
      </c>
      <c r="O35" t="s">
        <v>2047</v>
      </c>
      <c r="P35">
        <v>4</v>
      </c>
      <c r="Q35">
        <v>36</v>
      </c>
      <c r="R35" s="1">
        <v>45414</v>
      </c>
      <c r="S35" t="s">
        <v>1584</v>
      </c>
      <c r="T35">
        <f t="shared" si="0"/>
        <v>7</v>
      </c>
      <c r="U35">
        <f t="shared" si="1"/>
        <v>187.26</v>
      </c>
      <c r="V35">
        <f t="shared" si="2"/>
        <v>223.26</v>
      </c>
      <c r="W35">
        <f t="shared" si="3"/>
        <v>0.08</v>
      </c>
      <c r="X35">
        <f t="shared" si="4"/>
        <v>14.9808</v>
      </c>
      <c r="Y35">
        <f t="shared" si="5"/>
        <v>208.2792</v>
      </c>
      <c r="Z35" t="str">
        <f t="shared" si="6"/>
        <v>Heather Schneider</v>
      </c>
      <c r="AA35" s="1" t="str">
        <f t="shared" si="7"/>
        <v>Late</v>
      </c>
      <c r="AB35" t="str">
        <f t="shared" si="8"/>
        <v>Apr</v>
      </c>
      <c r="AC35" s="9">
        <f t="shared" si="9"/>
        <v>2024</v>
      </c>
      <c r="AD35" t="str">
        <f t="shared" si="10"/>
        <v>outlook.com</v>
      </c>
    </row>
    <row r="36" spans="1:30" x14ac:dyDescent="0.3">
      <c r="A36" t="s">
        <v>49</v>
      </c>
      <c r="B36" t="s">
        <v>147</v>
      </c>
      <c r="C36" t="s">
        <v>230</v>
      </c>
      <c r="D36">
        <v>26</v>
      </c>
      <c r="E36" t="s">
        <v>290</v>
      </c>
      <c r="F36" t="s">
        <v>297</v>
      </c>
      <c r="G36" t="s">
        <v>330</v>
      </c>
      <c r="H36" t="s">
        <v>430</v>
      </c>
      <c r="I36" t="s">
        <v>533</v>
      </c>
      <c r="J36" s="1">
        <v>45168</v>
      </c>
      <c r="K36" t="s">
        <v>1033</v>
      </c>
      <c r="L36" t="s">
        <v>1523</v>
      </c>
      <c r="M36">
        <v>129.75</v>
      </c>
      <c r="N36">
        <v>1</v>
      </c>
      <c r="O36" t="s">
        <v>1549</v>
      </c>
      <c r="P36">
        <v>5</v>
      </c>
      <c r="Q36">
        <v>70</v>
      </c>
      <c r="R36" s="1">
        <v>45172</v>
      </c>
      <c r="S36" t="s">
        <v>1585</v>
      </c>
      <c r="T36">
        <f t="shared" si="0"/>
        <v>4</v>
      </c>
      <c r="U36">
        <f t="shared" si="1"/>
        <v>129.75</v>
      </c>
      <c r="V36">
        <f t="shared" si="2"/>
        <v>199.75</v>
      </c>
      <c r="W36">
        <f t="shared" si="3"/>
        <v>0.1</v>
      </c>
      <c r="X36">
        <f t="shared" si="4"/>
        <v>12.975000000000001</v>
      </c>
      <c r="Y36">
        <f t="shared" si="5"/>
        <v>186.77500000000001</v>
      </c>
      <c r="Z36" t="str">
        <f t="shared" si="6"/>
        <v>Valerie Carr</v>
      </c>
      <c r="AA36" s="1" t="str">
        <f t="shared" si="7"/>
        <v>Before Time</v>
      </c>
      <c r="AB36" t="str">
        <f t="shared" si="8"/>
        <v>Aug</v>
      </c>
      <c r="AC36" s="9">
        <f t="shared" si="9"/>
        <v>2023</v>
      </c>
      <c r="AD36" t="str">
        <f t="shared" si="10"/>
        <v>rediffmail.com</v>
      </c>
    </row>
    <row r="37" spans="1:30" x14ac:dyDescent="0.3">
      <c r="A37" t="s">
        <v>41</v>
      </c>
      <c r="B37" t="s">
        <v>122</v>
      </c>
      <c r="C37" t="s">
        <v>222</v>
      </c>
      <c r="D37">
        <v>52</v>
      </c>
      <c r="E37" t="s">
        <v>290</v>
      </c>
      <c r="F37" t="s">
        <v>292</v>
      </c>
      <c r="G37" t="s">
        <v>322</v>
      </c>
      <c r="H37" t="s">
        <v>422</v>
      </c>
      <c r="I37" t="s">
        <v>534</v>
      </c>
      <c r="J37" s="1">
        <v>45244</v>
      </c>
      <c r="K37" t="s">
        <v>1034</v>
      </c>
      <c r="L37" t="s">
        <v>1524</v>
      </c>
      <c r="M37">
        <v>157.63999999999999</v>
      </c>
      <c r="N37">
        <v>5</v>
      </c>
      <c r="O37" t="s">
        <v>2047</v>
      </c>
      <c r="P37">
        <v>4</v>
      </c>
      <c r="Q37">
        <v>53</v>
      </c>
      <c r="R37" s="1">
        <v>45246</v>
      </c>
      <c r="S37" t="s">
        <v>1586</v>
      </c>
      <c r="T37">
        <f t="shared" si="0"/>
        <v>2</v>
      </c>
      <c r="U37">
        <f t="shared" si="1"/>
        <v>788.19999999999993</v>
      </c>
      <c r="V37">
        <f t="shared" si="2"/>
        <v>841.19999999999993</v>
      </c>
      <c r="W37">
        <f t="shared" si="3"/>
        <v>0.08</v>
      </c>
      <c r="X37">
        <f t="shared" si="4"/>
        <v>63.055999999999997</v>
      </c>
      <c r="Y37">
        <f t="shared" si="5"/>
        <v>778.14399999999989</v>
      </c>
      <c r="Z37" t="str">
        <f t="shared" si="6"/>
        <v>Angela Evans</v>
      </c>
      <c r="AA37" s="1" t="str">
        <f t="shared" si="7"/>
        <v>Before Time</v>
      </c>
      <c r="AB37" t="str">
        <f t="shared" si="8"/>
        <v>Nov</v>
      </c>
      <c r="AC37" s="9">
        <f t="shared" si="9"/>
        <v>2023</v>
      </c>
      <c r="AD37" t="str">
        <f t="shared" si="10"/>
        <v>outlook.com</v>
      </c>
    </row>
    <row r="38" spans="1:30" x14ac:dyDescent="0.3">
      <c r="A38" t="s">
        <v>22</v>
      </c>
      <c r="B38" t="s">
        <v>122</v>
      </c>
      <c r="C38" t="s">
        <v>204</v>
      </c>
      <c r="D38">
        <v>49</v>
      </c>
      <c r="E38" t="s">
        <v>290</v>
      </c>
      <c r="F38" t="s">
        <v>291</v>
      </c>
      <c r="G38" t="s">
        <v>303</v>
      </c>
      <c r="H38" t="s">
        <v>403</v>
      </c>
      <c r="I38" t="s">
        <v>535</v>
      </c>
      <c r="J38" s="1">
        <v>45242</v>
      </c>
      <c r="K38" t="s">
        <v>1035</v>
      </c>
      <c r="L38" t="s">
        <v>1513</v>
      </c>
      <c r="M38">
        <v>20.7</v>
      </c>
      <c r="N38">
        <v>5</v>
      </c>
      <c r="O38" t="s">
        <v>1547</v>
      </c>
      <c r="P38">
        <v>2</v>
      </c>
      <c r="Q38">
        <v>64</v>
      </c>
      <c r="R38" s="1">
        <v>45248</v>
      </c>
      <c r="S38" t="s">
        <v>1587</v>
      </c>
      <c r="T38">
        <f t="shared" si="0"/>
        <v>6</v>
      </c>
      <c r="U38">
        <f t="shared" si="1"/>
        <v>103.5</v>
      </c>
      <c r="V38">
        <f t="shared" si="2"/>
        <v>103.5</v>
      </c>
      <c r="W38">
        <f t="shared" si="3"/>
        <v>0</v>
      </c>
      <c r="X38">
        <f t="shared" si="4"/>
        <v>0</v>
      </c>
      <c r="Y38">
        <f t="shared" si="5"/>
        <v>103.5</v>
      </c>
      <c r="Z38" t="str">
        <f t="shared" si="6"/>
        <v>Angela Horne</v>
      </c>
      <c r="AA38" s="1" t="str">
        <f t="shared" si="7"/>
        <v>Late</v>
      </c>
      <c r="AB38" t="str">
        <f t="shared" si="8"/>
        <v>Nov</v>
      </c>
      <c r="AC38" s="9">
        <f t="shared" si="9"/>
        <v>2023</v>
      </c>
      <c r="AD38" t="str">
        <f t="shared" si="10"/>
        <v>outlook.com</v>
      </c>
    </row>
    <row r="39" spans="1:30" x14ac:dyDescent="0.3">
      <c r="A39" t="s">
        <v>50</v>
      </c>
      <c r="B39" t="s">
        <v>148</v>
      </c>
      <c r="C39" t="s">
        <v>231</v>
      </c>
      <c r="D39">
        <v>45</v>
      </c>
      <c r="E39" t="s">
        <v>288</v>
      </c>
      <c r="F39" t="s">
        <v>292</v>
      </c>
      <c r="G39" t="s">
        <v>331</v>
      </c>
      <c r="H39" t="s">
        <v>431</v>
      </c>
      <c r="I39" t="s">
        <v>536</v>
      </c>
      <c r="J39" s="1">
        <v>45193</v>
      </c>
      <c r="K39" t="s">
        <v>1036</v>
      </c>
      <c r="L39" t="s">
        <v>1525</v>
      </c>
      <c r="M39">
        <v>481.48</v>
      </c>
      <c r="N39">
        <v>2</v>
      </c>
      <c r="O39" t="s">
        <v>1548</v>
      </c>
      <c r="P39">
        <v>3</v>
      </c>
      <c r="Q39">
        <v>50</v>
      </c>
      <c r="R39" s="1">
        <v>45196</v>
      </c>
      <c r="S39" t="s">
        <v>1588</v>
      </c>
      <c r="T39">
        <f t="shared" si="0"/>
        <v>3</v>
      </c>
      <c r="U39">
        <f t="shared" si="1"/>
        <v>962.96</v>
      </c>
      <c r="V39">
        <f t="shared" si="2"/>
        <v>1012.96</v>
      </c>
      <c r="W39">
        <f t="shared" si="3"/>
        <v>0.15</v>
      </c>
      <c r="X39">
        <f t="shared" si="4"/>
        <v>144.44399999999999</v>
      </c>
      <c r="Y39">
        <f t="shared" si="5"/>
        <v>868.51600000000008</v>
      </c>
      <c r="Z39" t="str">
        <f t="shared" si="6"/>
        <v>Jenny Estrada</v>
      </c>
      <c r="AA39" s="1" t="str">
        <f t="shared" si="7"/>
        <v>In Time</v>
      </c>
      <c r="AB39" t="str">
        <f t="shared" si="8"/>
        <v>Sep</v>
      </c>
      <c r="AC39" s="9">
        <f t="shared" si="9"/>
        <v>2023</v>
      </c>
      <c r="AD39" t="str">
        <f t="shared" si="10"/>
        <v>yahoo.com</v>
      </c>
    </row>
    <row r="40" spans="1:30" x14ac:dyDescent="0.3">
      <c r="A40" t="s">
        <v>51</v>
      </c>
      <c r="B40" t="s">
        <v>149</v>
      </c>
      <c r="C40" t="s">
        <v>232</v>
      </c>
      <c r="D40">
        <v>29</v>
      </c>
      <c r="E40" t="s">
        <v>290</v>
      </c>
      <c r="F40" t="s">
        <v>296</v>
      </c>
      <c r="G40" t="s">
        <v>332</v>
      </c>
      <c r="H40" t="s">
        <v>432</v>
      </c>
      <c r="I40" t="s">
        <v>537</v>
      </c>
      <c r="J40" s="1">
        <v>45656</v>
      </c>
      <c r="K40" t="s">
        <v>1037</v>
      </c>
      <c r="L40" t="s">
        <v>1526</v>
      </c>
      <c r="M40">
        <v>405</v>
      </c>
      <c r="N40">
        <v>1</v>
      </c>
      <c r="O40" t="s">
        <v>1547</v>
      </c>
      <c r="P40">
        <v>7</v>
      </c>
      <c r="Q40">
        <v>36</v>
      </c>
      <c r="R40" s="1">
        <v>45661</v>
      </c>
      <c r="S40" t="s">
        <v>1589</v>
      </c>
      <c r="T40">
        <f t="shared" si="0"/>
        <v>5</v>
      </c>
      <c r="U40">
        <f t="shared" si="1"/>
        <v>405</v>
      </c>
      <c r="V40">
        <f t="shared" si="2"/>
        <v>405</v>
      </c>
      <c r="W40">
        <f t="shared" si="3"/>
        <v>0</v>
      </c>
      <c r="X40">
        <f t="shared" si="4"/>
        <v>0</v>
      </c>
      <c r="Y40">
        <f t="shared" si="5"/>
        <v>405</v>
      </c>
      <c r="Z40" t="str">
        <f t="shared" si="6"/>
        <v>Courtney Parker</v>
      </c>
      <c r="AA40" s="1" t="str">
        <f t="shared" si="7"/>
        <v>Before Time</v>
      </c>
      <c r="AB40" t="str">
        <f t="shared" si="8"/>
        <v>Dec</v>
      </c>
      <c r="AC40" s="9">
        <f t="shared" si="9"/>
        <v>2024</v>
      </c>
      <c r="AD40" t="str">
        <f t="shared" si="10"/>
        <v>yahoo.com</v>
      </c>
    </row>
    <row r="41" spans="1:30" x14ac:dyDescent="0.3">
      <c r="A41" t="s">
        <v>52</v>
      </c>
      <c r="B41" t="s">
        <v>150</v>
      </c>
      <c r="C41" t="s">
        <v>233</v>
      </c>
      <c r="D41">
        <v>23</v>
      </c>
      <c r="E41" t="s">
        <v>288</v>
      </c>
      <c r="F41" t="s">
        <v>291</v>
      </c>
      <c r="G41" t="s">
        <v>333</v>
      </c>
      <c r="H41" t="s">
        <v>433</v>
      </c>
      <c r="I41" t="s">
        <v>538</v>
      </c>
      <c r="J41" s="1">
        <v>45574</v>
      </c>
      <c r="K41" t="s">
        <v>1038</v>
      </c>
      <c r="L41" t="s">
        <v>1527</v>
      </c>
      <c r="M41">
        <v>77.84</v>
      </c>
      <c r="N41">
        <v>5</v>
      </c>
      <c r="O41" t="s">
        <v>1547</v>
      </c>
      <c r="P41">
        <v>4</v>
      </c>
      <c r="Q41">
        <v>47</v>
      </c>
      <c r="R41" s="1">
        <v>45575</v>
      </c>
      <c r="S41" t="s">
        <v>1590</v>
      </c>
      <c r="T41">
        <f t="shared" si="0"/>
        <v>1</v>
      </c>
      <c r="U41">
        <f t="shared" si="1"/>
        <v>389.20000000000005</v>
      </c>
      <c r="V41">
        <f t="shared" si="2"/>
        <v>389.20000000000005</v>
      </c>
      <c r="W41">
        <f t="shared" si="3"/>
        <v>0</v>
      </c>
      <c r="X41">
        <f t="shared" si="4"/>
        <v>0</v>
      </c>
      <c r="Y41">
        <f t="shared" si="5"/>
        <v>389.20000000000005</v>
      </c>
      <c r="Z41" t="str">
        <f t="shared" si="6"/>
        <v>Julie Meyer</v>
      </c>
      <c r="AA41" s="1" t="str">
        <f t="shared" si="7"/>
        <v>Before Time</v>
      </c>
      <c r="AB41" t="str">
        <f t="shared" si="8"/>
        <v>Oct</v>
      </c>
      <c r="AC41" s="9">
        <f t="shared" si="9"/>
        <v>2024</v>
      </c>
      <c r="AD41" t="str">
        <f t="shared" si="10"/>
        <v>yahoo.com</v>
      </c>
    </row>
    <row r="42" spans="1:30" x14ac:dyDescent="0.3">
      <c r="A42" t="s">
        <v>22</v>
      </c>
      <c r="B42" t="s">
        <v>122</v>
      </c>
      <c r="C42" t="s">
        <v>204</v>
      </c>
      <c r="D42">
        <v>49</v>
      </c>
      <c r="E42" t="s">
        <v>290</v>
      </c>
      <c r="F42" t="s">
        <v>291</v>
      </c>
      <c r="G42" t="s">
        <v>303</v>
      </c>
      <c r="H42" t="s">
        <v>403</v>
      </c>
      <c r="I42" t="s">
        <v>539</v>
      </c>
      <c r="J42" s="1">
        <v>45557</v>
      </c>
      <c r="K42" t="s">
        <v>1039</v>
      </c>
      <c r="L42" t="s">
        <v>1506</v>
      </c>
      <c r="M42">
        <v>372.62</v>
      </c>
      <c r="N42">
        <v>3</v>
      </c>
      <c r="O42" t="s">
        <v>2047</v>
      </c>
      <c r="P42">
        <v>3</v>
      </c>
      <c r="Q42">
        <v>59</v>
      </c>
      <c r="R42" s="1">
        <v>45564</v>
      </c>
      <c r="S42" t="s">
        <v>1591</v>
      </c>
      <c r="T42">
        <f t="shared" si="0"/>
        <v>7</v>
      </c>
      <c r="U42">
        <f t="shared" si="1"/>
        <v>1117.8600000000001</v>
      </c>
      <c r="V42">
        <f t="shared" si="2"/>
        <v>1176.8600000000001</v>
      </c>
      <c r="W42">
        <f t="shared" si="3"/>
        <v>0.08</v>
      </c>
      <c r="X42">
        <f t="shared" si="4"/>
        <v>89.42880000000001</v>
      </c>
      <c r="Y42">
        <f t="shared" si="5"/>
        <v>1087.4312000000002</v>
      </c>
      <c r="Z42" t="str">
        <f t="shared" si="6"/>
        <v>Angela Horne</v>
      </c>
      <c r="AA42" s="1" t="str">
        <f t="shared" si="7"/>
        <v>Late</v>
      </c>
      <c r="AB42" t="str">
        <f t="shared" si="8"/>
        <v>Sep</v>
      </c>
      <c r="AC42" s="9">
        <f t="shared" si="9"/>
        <v>2024</v>
      </c>
      <c r="AD42" t="str">
        <f t="shared" si="10"/>
        <v>outlook.com</v>
      </c>
    </row>
    <row r="43" spans="1:30" x14ac:dyDescent="0.3">
      <c r="A43" t="s">
        <v>31</v>
      </c>
      <c r="B43" t="s">
        <v>131</v>
      </c>
      <c r="C43" t="s">
        <v>213</v>
      </c>
      <c r="D43">
        <v>44</v>
      </c>
      <c r="E43" t="s">
        <v>289</v>
      </c>
      <c r="F43" t="s">
        <v>296</v>
      </c>
      <c r="G43" t="s">
        <v>312</v>
      </c>
      <c r="H43" t="s">
        <v>412</v>
      </c>
      <c r="I43" t="s">
        <v>540</v>
      </c>
      <c r="J43" s="1">
        <v>45568</v>
      </c>
      <c r="K43" t="s">
        <v>1040</v>
      </c>
      <c r="L43" t="s">
        <v>1506</v>
      </c>
      <c r="M43">
        <v>372.62</v>
      </c>
      <c r="N43">
        <v>3</v>
      </c>
      <c r="O43" t="s">
        <v>2047</v>
      </c>
      <c r="P43">
        <v>1</v>
      </c>
      <c r="Q43">
        <v>52</v>
      </c>
      <c r="R43" s="1">
        <v>45575</v>
      </c>
      <c r="S43" t="s">
        <v>1592</v>
      </c>
      <c r="T43">
        <f t="shared" si="0"/>
        <v>7</v>
      </c>
      <c r="U43">
        <f t="shared" si="1"/>
        <v>1117.8600000000001</v>
      </c>
      <c r="V43">
        <f t="shared" si="2"/>
        <v>1169.8600000000001</v>
      </c>
      <c r="W43">
        <f t="shared" si="3"/>
        <v>0.08</v>
      </c>
      <c r="X43">
        <f t="shared" si="4"/>
        <v>89.42880000000001</v>
      </c>
      <c r="Y43">
        <f t="shared" si="5"/>
        <v>1080.4312000000002</v>
      </c>
      <c r="Z43" t="str">
        <f t="shared" si="6"/>
        <v>Amy Reid</v>
      </c>
      <c r="AA43" s="1" t="str">
        <f t="shared" si="7"/>
        <v>Late</v>
      </c>
      <c r="AB43" t="str">
        <f t="shared" si="8"/>
        <v>Oct</v>
      </c>
      <c r="AC43" s="9">
        <f t="shared" si="9"/>
        <v>2024</v>
      </c>
      <c r="AD43" t="str">
        <f t="shared" si="10"/>
        <v>rediffmail.com</v>
      </c>
    </row>
    <row r="44" spans="1:30" x14ac:dyDescent="0.3">
      <c r="A44" t="s">
        <v>53</v>
      </c>
      <c r="B44" t="s">
        <v>151</v>
      </c>
      <c r="C44" t="s">
        <v>234</v>
      </c>
      <c r="D44">
        <v>70</v>
      </c>
      <c r="E44" t="s">
        <v>288</v>
      </c>
      <c r="F44" t="s">
        <v>297</v>
      </c>
      <c r="G44" t="s">
        <v>334</v>
      </c>
      <c r="H44" t="s">
        <v>434</v>
      </c>
      <c r="I44" t="s">
        <v>541</v>
      </c>
      <c r="J44" s="1">
        <v>45151</v>
      </c>
      <c r="K44" t="s">
        <v>1041</v>
      </c>
      <c r="L44" t="s">
        <v>1518</v>
      </c>
      <c r="M44">
        <v>496.59</v>
      </c>
      <c r="N44">
        <v>3</v>
      </c>
      <c r="O44" t="s">
        <v>1548</v>
      </c>
      <c r="P44">
        <v>4</v>
      </c>
      <c r="Q44">
        <v>49</v>
      </c>
      <c r="R44" s="1">
        <v>45152</v>
      </c>
      <c r="S44" t="s">
        <v>1593</v>
      </c>
      <c r="T44">
        <f t="shared" si="0"/>
        <v>1</v>
      </c>
      <c r="U44">
        <f t="shared" si="1"/>
        <v>1489.77</v>
      </c>
      <c r="V44">
        <f t="shared" si="2"/>
        <v>1538.77</v>
      </c>
      <c r="W44">
        <f t="shared" si="3"/>
        <v>0.15</v>
      </c>
      <c r="X44">
        <f t="shared" si="4"/>
        <v>223.46549999999999</v>
      </c>
      <c r="Y44">
        <f t="shared" si="5"/>
        <v>1315.3045</v>
      </c>
      <c r="Z44" t="str">
        <f t="shared" si="6"/>
        <v>Donna Oneill</v>
      </c>
      <c r="AA44" s="1" t="str">
        <f t="shared" si="7"/>
        <v>Before Time</v>
      </c>
      <c r="AB44" t="str">
        <f t="shared" si="8"/>
        <v>Aug</v>
      </c>
      <c r="AC44" s="9">
        <f t="shared" si="9"/>
        <v>2023</v>
      </c>
      <c r="AD44" t="str">
        <f t="shared" si="10"/>
        <v>yahoo.com</v>
      </c>
    </row>
    <row r="45" spans="1:30" x14ac:dyDescent="0.3">
      <c r="A45" t="s">
        <v>54</v>
      </c>
      <c r="B45" t="s">
        <v>152</v>
      </c>
      <c r="C45" t="s">
        <v>235</v>
      </c>
      <c r="D45">
        <v>32</v>
      </c>
      <c r="E45" t="s">
        <v>289</v>
      </c>
      <c r="F45" t="s">
        <v>297</v>
      </c>
      <c r="G45" t="s">
        <v>335</v>
      </c>
      <c r="H45" t="s">
        <v>435</v>
      </c>
      <c r="I45" t="s">
        <v>542</v>
      </c>
      <c r="J45" s="1">
        <v>45020</v>
      </c>
      <c r="K45" t="s">
        <v>1042</v>
      </c>
      <c r="L45" t="s">
        <v>1523</v>
      </c>
      <c r="M45">
        <v>129.75</v>
      </c>
      <c r="N45">
        <v>1</v>
      </c>
      <c r="O45" t="s">
        <v>1549</v>
      </c>
      <c r="P45">
        <v>6</v>
      </c>
      <c r="Q45">
        <v>43</v>
      </c>
      <c r="R45" s="1">
        <v>45026</v>
      </c>
      <c r="S45" t="s">
        <v>1594</v>
      </c>
      <c r="T45">
        <f t="shared" si="0"/>
        <v>6</v>
      </c>
      <c r="U45">
        <f t="shared" si="1"/>
        <v>129.75</v>
      </c>
      <c r="V45">
        <f t="shared" si="2"/>
        <v>172.75</v>
      </c>
      <c r="W45">
        <f t="shared" si="3"/>
        <v>0.1</v>
      </c>
      <c r="X45">
        <f t="shared" si="4"/>
        <v>12.975000000000001</v>
      </c>
      <c r="Y45">
        <f t="shared" si="5"/>
        <v>159.77500000000001</v>
      </c>
      <c r="Z45" t="str">
        <f t="shared" si="6"/>
        <v>Robert Castillo</v>
      </c>
      <c r="AA45" s="1" t="str">
        <f t="shared" si="7"/>
        <v>In Time</v>
      </c>
      <c r="AB45" t="str">
        <f t="shared" si="8"/>
        <v>Apr</v>
      </c>
      <c r="AC45" s="9">
        <f t="shared" si="9"/>
        <v>2023</v>
      </c>
      <c r="AD45" t="str">
        <f t="shared" si="10"/>
        <v>gmail.com</v>
      </c>
    </row>
    <row r="46" spans="1:30" x14ac:dyDescent="0.3">
      <c r="A46" t="s">
        <v>55</v>
      </c>
      <c r="B46" t="s">
        <v>153</v>
      </c>
      <c r="C46" t="s">
        <v>236</v>
      </c>
      <c r="D46">
        <v>31</v>
      </c>
      <c r="E46" t="s">
        <v>290</v>
      </c>
      <c r="F46" t="s">
        <v>294</v>
      </c>
      <c r="G46" t="s">
        <v>336</v>
      </c>
      <c r="H46" t="s">
        <v>436</v>
      </c>
      <c r="I46" t="s">
        <v>543</v>
      </c>
      <c r="J46" s="1">
        <v>45336</v>
      </c>
      <c r="K46" t="s">
        <v>1043</v>
      </c>
      <c r="L46" t="s">
        <v>1509</v>
      </c>
      <c r="M46">
        <v>190.1</v>
      </c>
      <c r="N46">
        <v>5</v>
      </c>
      <c r="O46" t="s">
        <v>2047</v>
      </c>
      <c r="P46">
        <v>5</v>
      </c>
      <c r="Q46">
        <v>35</v>
      </c>
      <c r="R46" s="1">
        <v>45341</v>
      </c>
      <c r="S46" t="s">
        <v>1595</v>
      </c>
      <c r="T46">
        <f t="shared" si="0"/>
        <v>5</v>
      </c>
      <c r="U46">
        <f t="shared" si="1"/>
        <v>950.5</v>
      </c>
      <c r="V46">
        <f t="shared" si="2"/>
        <v>985.5</v>
      </c>
      <c r="W46">
        <f t="shared" si="3"/>
        <v>0.08</v>
      </c>
      <c r="X46">
        <f t="shared" si="4"/>
        <v>76.040000000000006</v>
      </c>
      <c r="Y46">
        <f t="shared" si="5"/>
        <v>909.46</v>
      </c>
      <c r="Z46" t="str">
        <f t="shared" si="6"/>
        <v>Timothy Hicks</v>
      </c>
      <c r="AA46" s="1" t="str">
        <f t="shared" si="7"/>
        <v>In Time</v>
      </c>
      <c r="AB46" t="str">
        <f t="shared" si="8"/>
        <v>Feb</v>
      </c>
      <c r="AC46" s="9">
        <f t="shared" si="9"/>
        <v>2024</v>
      </c>
      <c r="AD46" t="str">
        <f t="shared" si="10"/>
        <v>gmail.com</v>
      </c>
    </row>
    <row r="47" spans="1:30" x14ac:dyDescent="0.3">
      <c r="A47" t="s">
        <v>56</v>
      </c>
      <c r="B47" t="s">
        <v>154</v>
      </c>
      <c r="C47" t="s">
        <v>237</v>
      </c>
      <c r="D47">
        <v>50</v>
      </c>
      <c r="E47" t="s">
        <v>290</v>
      </c>
      <c r="F47" t="s">
        <v>294</v>
      </c>
      <c r="G47" t="s">
        <v>337</v>
      </c>
      <c r="H47" t="s">
        <v>437</v>
      </c>
      <c r="I47" t="s">
        <v>544</v>
      </c>
      <c r="J47" s="1">
        <v>44987</v>
      </c>
      <c r="K47" t="s">
        <v>1044</v>
      </c>
      <c r="L47" t="s">
        <v>1509</v>
      </c>
      <c r="M47">
        <v>190.1</v>
      </c>
      <c r="N47">
        <v>1</v>
      </c>
      <c r="O47" t="s">
        <v>1550</v>
      </c>
      <c r="P47">
        <v>4</v>
      </c>
      <c r="Q47">
        <v>63</v>
      </c>
      <c r="R47" s="1">
        <v>44992</v>
      </c>
      <c r="S47" t="s">
        <v>1596</v>
      </c>
      <c r="T47">
        <f t="shared" si="0"/>
        <v>5</v>
      </c>
      <c r="U47">
        <f t="shared" si="1"/>
        <v>190.1</v>
      </c>
      <c r="V47">
        <f t="shared" si="2"/>
        <v>253.1</v>
      </c>
      <c r="W47">
        <f t="shared" si="3"/>
        <v>0.2</v>
      </c>
      <c r="X47">
        <f t="shared" si="4"/>
        <v>38.020000000000003</v>
      </c>
      <c r="Y47">
        <f t="shared" si="5"/>
        <v>215.07999999999998</v>
      </c>
      <c r="Z47" t="str">
        <f t="shared" si="6"/>
        <v>Thomas Andersen</v>
      </c>
      <c r="AA47" s="1" t="str">
        <f t="shared" si="7"/>
        <v>Late</v>
      </c>
      <c r="AB47" t="str">
        <f t="shared" si="8"/>
        <v>Mar</v>
      </c>
      <c r="AC47" s="9">
        <f t="shared" si="9"/>
        <v>2023</v>
      </c>
      <c r="AD47" t="str">
        <f t="shared" si="10"/>
        <v>yahoo.com</v>
      </c>
    </row>
    <row r="48" spans="1:30" x14ac:dyDescent="0.3">
      <c r="A48" t="s">
        <v>49</v>
      </c>
      <c r="B48" t="s">
        <v>147</v>
      </c>
      <c r="C48" t="s">
        <v>230</v>
      </c>
      <c r="D48">
        <v>26</v>
      </c>
      <c r="E48" t="s">
        <v>290</v>
      </c>
      <c r="F48" t="s">
        <v>297</v>
      </c>
      <c r="G48" t="s">
        <v>330</v>
      </c>
      <c r="H48" t="s">
        <v>430</v>
      </c>
      <c r="I48" t="s">
        <v>545</v>
      </c>
      <c r="J48" s="1">
        <v>45313</v>
      </c>
      <c r="K48" t="s">
        <v>1045</v>
      </c>
      <c r="L48" t="s">
        <v>1528</v>
      </c>
      <c r="M48">
        <v>431.44</v>
      </c>
      <c r="N48">
        <v>5</v>
      </c>
      <c r="O48" t="s">
        <v>2047</v>
      </c>
      <c r="P48">
        <v>2</v>
      </c>
      <c r="Q48">
        <v>57</v>
      </c>
      <c r="R48" s="1">
        <v>45318</v>
      </c>
      <c r="S48" t="s">
        <v>1597</v>
      </c>
      <c r="T48">
        <f t="shared" si="0"/>
        <v>5</v>
      </c>
      <c r="U48">
        <f t="shared" si="1"/>
        <v>2157.1999999999998</v>
      </c>
      <c r="V48">
        <f t="shared" si="2"/>
        <v>2214.1999999999998</v>
      </c>
      <c r="W48">
        <f t="shared" si="3"/>
        <v>0.08</v>
      </c>
      <c r="X48">
        <f t="shared" si="4"/>
        <v>172.57599999999999</v>
      </c>
      <c r="Y48">
        <f t="shared" si="5"/>
        <v>2041.6239999999998</v>
      </c>
      <c r="Z48" t="str">
        <f t="shared" si="6"/>
        <v>Valerie Carr</v>
      </c>
      <c r="AA48" s="1" t="str">
        <f t="shared" si="7"/>
        <v>Late</v>
      </c>
      <c r="AB48" t="str">
        <f t="shared" si="8"/>
        <v>Jan</v>
      </c>
      <c r="AC48" s="9">
        <f t="shared" si="9"/>
        <v>2024</v>
      </c>
      <c r="AD48" t="str">
        <f t="shared" si="10"/>
        <v>rediffmail.com</v>
      </c>
    </row>
    <row r="49" spans="1:30" x14ac:dyDescent="0.3">
      <c r="A49" t="s">
        <v>57</v>
      </c>
      <c r="B49" t="s">
        <v>155</v>
      </c>
      <c r="C49" t="s">
        <v>238</v>
      </c>
      <c r="D49">
        <v>47</v>
      </c>
      <c r="E49" t="s">
        <v>289</v>
      </c>
      <c r="F49" t="s">
        <v>296</v>
      </c>
      <c r="G49" t="s">
        <v>338</v>
      </c>
      <c r="H49" t="s">
        <v>438</v>
      </c>
      <c r="I49" t="s">
        <v>546</v>
      </c>
      <c r="J49" s="1">
        <v>45054</v>
      </c>
      <c r="K49" t="s">
        <v>1046</v>
      </c>
      <c r="L49" t="s">
        <v>1524</v>
      </c>
      <c r="M49">
        <v>157.63999999999999</v>
      </c>
      <c r="N49">
        <v>4</v>
      </c>
      <c r="O49" t="s">
        <v>2047</v>
      </c>
      <c r="P49">
        <v>4</v>
      </c>
      <c r="Q49">
        <v>44</v>
      </c>
      <c r="R49" s="1">
        <v>45061</v>
      </c>
      <c r="S49" t="s">
        <v>1598</v>
      </c>
      <c r="T49">
        <f t="shared" si="0"/>
        <v>7</v>
      </c>
      <c r="U49">
        <f t="shared" si="1"/>
        <v>630.55999999999995</v>
      </c>
      <c r="V49">
        <f t="shared" si="2"/>
        <v>674.56</v>
      </c>
      <c r="W49">
        <f t="shared" si="3"/>
        <v>0.08</v>
      </c>
      <c r="X49">
        <f t="shared" si="4"/>
        <v>50.444799999999994</v>
      </c>
      <c r="Y49">
        <f t="shared" si="5"/>
        <v>624.11519999999996</v>
      </c>
      <c r="Z49" t="str">
        <f t="shared" si="6"/>
        <v>Aaron Thompson</v>
      </c>
      <c r="AA49" s="1" t="str">
        <f t="shared" si="7"/>
        <v>Late</v>
      </c>
      <c r="AB49" t="str">
        <f t="shared" si="8"/>
        <v>May</v>
      </c>
      <c r="AC49" s="9">
        <f t="shared" si="9"/>
        <v>2023</v>
      </c>
      <c r="AD49" t="str">
        <f t="shared" si="10"/>
        <v>gmail.com</v>
      </c>
    </row>
    <row r="50" spans="1:30" x14ac:dyDescent="0.3">
      <c r="A50" t="s">
        <v>58</v>
      </c>
      <c r="B50" t="s">
        <v>140</v>
      </c>
      <c r="C50" t="s">
        <v>239</v>
      </c>
      <c r="D50">
        <v>40</v>
      </c>
      <c r="E50" t="s">
        <v>290</v>
      </c>
      <c r="F50" t="s">
        <v>297</v>
      </c>
      <c r="G50" t="s">
        <v>339</v>
      </c>
      <c r="H50" t="s">
        <v>439</v>
      </c>
      <c r="I50" t="s">
        <v>547</v>
      </c>
      <c r="J50" s="1">
        <v>45620</v>
      </c>
      <c r="K50" t="s">
        <v>1047</v>
      </c>
      <c r="L50" t="s">
        <v>1498</v>
      </c>
      <c r="M50">
        <v>166.28</v>
      </c>
      <c r="N50">
        <v>4</v>
      </c>
      <c r="O50" t="s">
        <v>1547</v>
      </c>
      <c r="P50">
        <v>3</v>
      </c>
      <c r="Q50">
        <v>41</v>
      </c>
      <c r="R50" s="1">
        <v>45626</v>
      </c>
      <c r="S50" t="s">
        <v>1599</v>
      </c>
      <c r="T50">
        <f t="shared" si="0"/>
        <v>6</v>
      </c>
      <c r="U50">
        <f t="shared" si="1"/>
        <v>665.12</v>
      </c>
      <c r="V50">
        <f t="shared" si="2"/>
        <v>665.12</v>
      </c>
      <c r="W50">
        <f t="shared" si="3"/>
        <v>0</v>
      </c>
      <c r="X50">
        <f t="shared" si="4"/>
        <v>0</v>
      </c>
      <c r="Y50">
        <f t="shared" si="5"/>
        <v>665.12</v>
      </c>
      <c r="Z50" t="str">
        <f t="shared" si="6"/>
        <v>Jason Lopez</v>
      </c>
      <c r="AA50" s="1" t="str">
        <f t="shared" si="7"/>
        <v>Late</v>
      </c>
      <c r="AB50" t="str">
        <f t="shared" si="8"/>
        <v>Nov</v>
      </c>
      <c r="AC50" s="9">
        <f t="shared" si="9"/>
        <v>2024</v>
      </c>
      <c r="AD50" t="str">
        <f t="shared" si="10"/>
        <v>outlook.com</v>
      </c>
    </row>
    <row r="51" spans="1:30" x14ac:dyDescent="0.3">
      <c r="A51" t="s">
        <v>59</v>
      </c>
      <c r="B51" t="s">
        <v>156</v>
      </c>
      <c r="C51" t="s">
        <v>240</v>
      </c>
      <c r="D51">
        <v>70</v>
      </c>
      <c r="E51" t="s">
        <v>288</v>
      </c>
      <c r="F51" t="s">
        <v>291</v>
      </c>
      <c r="G51" t="s">
        <v>340</v>
      </c>
      <c r="H51" t="s">
        <v>440</v>
      </c>
      <c r="I51" t="s">
        <v>548</v>
      </c>
      <c r="J51" s="1">
        <v>45545</v>
      </c>
      <c r="K51" t="s">
        <v>1048</v>
      </c>
      <c r="L51" t="s">
        <v>1513</v>
      </c>
      <c r="M51">
        <v>20.7</v>
      </c>
      <c r="N51">
        <v>2</v>
      </c>
      <c r="O51" t="s">
        <v>1549</v>
      </c>
      <c r="P51">
        <v>2</v>
      </c>
      <c r="Q51">
        <v>50</v>
      </c>
      <c r="R51" s="1">
        <v>45547</v>
      </c>
      <c r="S51" t="s">
        <v>1600</v>
      </c>
      <c r="T51">
        <f t="shared" si="0"/>
        <v>2</v>
      </c>
      <c r="U51">
        <f t="shared" si="1"/>
        <v>41.4</v>
      </c>
      <c r="V51">
        <f t="shared" si="2"/>
        <v>91.4</v>
      </c>
      <c r="W51">
        <f t="shared" si="3"/>
        <v>0.1</v>
      </c>
      <c r="X51">
        <f t="shared" si="4"/>
        <v>4.1399999999999997</v>
      </c>
      <c r="Y51">
        <f t="shared" si="5"/>
        <v>87.26</v>
      </c>
      <c r="Z51" t="str">
        <f t="shared" si="6"/>
        <v>Alexandra Smith</v>
      </c>
      <c r="AA51" s="1" t="str">
        <f t="shared" si="7"/>
        <v>In Time</v>
      </c>
      <c r="AB51" t="str">
        <f t="shared" si="8"/>
        <v>Sep</v>
      </c>
      <c r="AC51" s="9">
        <f t="shared" si="9"/>
        <v>2024</v>
      </c>
      <c r="AD51" t="str">
        <f t="shared" si="10"/>
        <v>rediffmail.com</v>
      </c>
    </row>
    <row r="52" spans="1:30" x14ac:dyDescent="0.3">
      <c r="A52" t="s">
        <v>53</v>
      </c>
      <c r="B52" t="s">
        <v>151</v>
      </c>
      <c r="C52" t="s">
        <v>234</v>
      </c>
      <c r="D52">
        <v>70</v>
      </c>
      <c r="E52" t="s">
        <v>288</v>
      </c>
      <c r="F52" t="s">
        <v>297</v>
      </c>
      <c r="G52" t="s">
        <v>334</v>
      </c>
      <c r="H52" t="s">
        <v>434</v>
      </c>
      <c r="I52" t="s">
        <v>549</v>
      </c>
      <c r="J52" s="1">
        <v>45224</v>
      </c>
      <c r="K52" t="s">
        <v>1049</v>
      </c>
      <c r="L52" t="s">
        <v>1523</v>
      </c>
      <c r="M52">
        <v>129.75</v>
      </c>
      <c r="N52">
        <v>2</v>
      </c>
      <c r="O52" t="s">
        <v>1550</v>
      </c>
      <c r="P52">
        <v>5</v>
      </c>
      <c r="Q52">
        <v>42</v>
      </c>
      <c r="R52" s="1">
        <v>45227</v>
      </c>
      <c r="S52" t="s">
        <v>1601</v>
      </c>
      <c r="T52">
        <f t="shared" si="0"/>
        <v>3</v>
      </c>
      <c r="U52">
        <f t="shared" si="1"/>
        <v>259.5</v>
      </c>
      <c r="V52">
        <f t="shared" si="2"/>
        <v>301.5</v>
      </c>
      <c r="W52">
        <f t="shared" si="3"/>
        <v>0.2</v>
      </c>
      <c r="X52">
        <f t="shared" si="4"/>
        <v>51.900000000000006</v>
      </c>
      <c r="Y52">
        <f t="shared" si="5"/>
        <v>249.6</v>
      </c>
      <c r="Z52" t="str">
        <f t="shared" si="6"/>
        <v>Donna Oneill</v>
      </c>
      <c r="AA52" s="1" t="str">
        <f t="shared" si="7"/>
        <v>Before Time</v>
      </c>
      <c r="AB52" t="str">
        <f t="shared" si="8"/>
        <v>Oct</v>
      </c>
      <c r="AC52" s="9">
        <f t="shared" si="9"/>
        <v>2023</v>
      </c>
      <c r="AD52" t="str">
        <f t="shared" si="10"/>
        <v>yahoo.com</v>
      </c>
    </row>
    <row r="53" spans="1:30" x14ac:dyDescent="0.3">
      <c r="A53" t="s">
        <v>21</v>
      </c>
      <c r="B53" t="s">
        <v>121</v>
      </c>
      <c r="C53" t="s">
        <v>203</v>
      </c>
      <c r="D53">
        <v>28</v>
      </c>
      <c r="E53" t="s">
        <v>290</v>
      </c>
      <c r="F53" t="s">
        <v>294</v>
      </c>
      <c r="G53" t="s">
        <v>302</v>
      </c>
      <c r="H53" t="s">
        <v>402</v>
      </c>
      <c r="I53" t="s">
        <v>502</v>
      </c>
      <c r="J53" s="1">
        <v>45365</v>
      </c>
      <c r="K53" t="s">
        <v>1002</v>
      </c>
      <c r="L53" t="s">
        <v>1500</v>
      </c>
      <c r="M53">
        <v>44.5</v>
      </c>
      <c r="N53">
        <v>4</v>
      </c>
      <c r="O53" t="s">
        <v>2047</v>
      </c>
      <c r="P53">
        <v>2</v>
      </c>
      <c r="Q53">
        <v>40</v>
      </c>
      <c r="R53" s="1">
        <v>45368</v>
      </c>
      <c r="S53" t="s">
        <v>1554</v>
      </c>
      <c r="T53">
        <f t="shared" si="0"/>
        <v>3</v>
      </c>
      <c r="U53">
        <f t="shared" si="1"/>
        <v>178</v>
      </c>
      <c r="V53">
        <f t="shared" si="2"/>
        <v>218</v>
      </c>
      <c r="W53">
        <f t="shared" si="3"/>
        <v>0.08</v>
      </c>
      <c r="X53">
        <f t="shared" si="4"/>
        <v>14.24</v>
      </c>
      <c r="Y53">
        <f t="shared" si="5"/>
        <v>203.76</v>
      </c>
      <c r="Z53" t="str">
        <f t="shared" si="6"/>
        <v>John Ramirez</v>
      </c>
      <c r="AA53" s="1" t="str">
        <f t="shared" si="7"/>
        <v>Late</v>
      </c>
      <c r="AB53" t="str">
        <f t="shared" si="8"/>
        <v>Mar</v>
      </c>
      <c r="AC53" s="9">
        <f t="shared" si="9"/>
        <v>2024</v>
      </c>
      <c r="AD53" t="str">
        <f t="shared" si="10"/>
        <v>outlook.com</v>
      </c>
    </row>
    <row r="54" spans="1:30" x14ac:dyDescent="0.3">
      <c r="A54" t="s">
        <v>60</v>
      </c>
      <c r="B54" t="s">
        <v>157</v>
      </c>
      <c r="C54" t="s">
        <v>241</v>
      </c>
      <c r="D54">
        <v>52</v>
      </c>
      <c r="E54" t="s">
        <v>290</v>
      </c>
      <c r="F54" t="s">
        <v>298</v>
      </c>
      <c r="G54" t="s">
        <v>341</v>
      </c>
      <c r="H54" t="s">
        <v>441</v>
      </c>
      <c r="I54" t="s">
        <v>551</v>
      </c>
      <c r="J54" s="1">
        <v>45145</v>
      </c>
      <c r="K54" t="s">
        <v>1051</v>
      </c>
      <c r="L54" t="s">
        <v>1529</v>
      </c>
      <c r="M54">
        <v>128.13999999999999</v>
      </c>
      <c r="N54">
        <v>5</v>
      </c>
      <c r="O54" t="s">
        <v>1548</v>
      </c>
      <c r="P54">
        <v>2</v>
      </c>
      <c r="Q54">
        <v>57</v>
      </c>
      <c r="R54" s="1">
        <v>45147</v>
      </c>
      <c r="S54" t="s">
        <v>1603</v>
      </c>
      <c r="T54">
        <f t="shared" si="0"/>
        <v>2</v>
      </c>
      <c r="U54">
        <f t="shared" si="1"/>
        <v>640.69999999999993</v>
      </c>
      <c r="V54">
        <f t="shared" si="2"/>
        <v>697.69999999999993</v>
      </c>
      <c r="W54">
        <f t="shared" si="3"/>
        <v>0.15</v>
      </c>
      <c r="X54">
        <f t="shared" si="4"/>
        <v>96.10499999999999</v>
      </c>
      <c r="Y54">
        <f t="shared" si="5"/>
        <v>601.59499999999991</v>
      </c>
      <c r="Z54" t="str">
        <f t="shared" si="6"/>
        <v>Amanda Howard</v>
      </c>
      <c r="AA54" s="1" t="str">
        <f t="shared" si="7"/>
        <v>In Time</v>
      </c>
      <c r="AB54" t="str">
        <f t="shared" si="8"/>
        <v>Aug</v>
      </c>
      <c r="AC54" s="9">
        <f t="shared" si="9"/>
        <v>2023</v>
      </c>
      <c r="AD54" t="str">
        <f t="shared" si="10"/>
        <v>outlook.com</v>
      </c>
    </row>
    <row r="55" spans="1:30" x14ac:dyDescent="0.3">
      <c r="A55" t="s">
        <v>49</v>
      </c>
      <c r="B55" t="s">
        <v>147</v>
      </c>
      <c r="C55" t="s">
        <v>230</v>
      </c>
      <c r="D55">
        <v>26</v>
      </c>
      <c r="E55" t="s">
        <v>290</v>
      </c>
      <c r="F55" t="s">
        <v>297</v>
      </c>
      <c r="G55" t="s">
        <v>330</v>
      </c>
      <c r="H55" t="s">
        <v>430</v>
      </c>
      <c r="I55" t="s">
        <v>552</v>
      </c>
      <c r="J55" s="1">
        <v>45312</v>
      </c>
      <c r="K55" t="s">
        <v>1052</v>
      </c>
      <c r="L55" t="s">
        <v>1530</v>
      </c>
      <c r="M55">
        <v>369.03</v>
      </c>
      <c r="N55">
        <v>2</v>
      </c>
      <c r="O55" t="s">
        <v>1549</v>
      </c>
      <c r="P55">
        <v>4</v>
      </c>
      <c r="Q55">
        <v>46</v>
      </c>
      <c r="R55" s="1">
        <v>45318</v>
      </c>
      <c r="S55" t="s">
        <v>1604</v>
      </c>
      <c r="T55">
        <f t="shared" si="0"/>
        <v>6</v>
      </c>
      <c r="U55">
        <f t="shared" si="1"/>
        <v>738.06</v>
      </c>
      <c r="V55">
        <f t="shared" si="2"/>
        <v>784.06</v>
      </c>
      <c r="W55">
        <f t="shared" si="3"/>
        <v>0.1</v>
      </c>
      <c r="X55">
        <f t="shared" si="4"/>
        <v>73.805999999999997</v>
      </c>
      <c r="Y55">
        <f t="shared" si="5"/>
        <v>710.25399999999991</v>
      </c>
      <c r="Z55" t="str">
        <f t="shared" si="6"/>
        <v>Valerie Carr</v>
      </c>
      <c r="AA55" s="1" t="str">
        <f t="shared" si="7"/>
        <v>Late</v>
      </c>
      <c r="AB55" t="str">
        <f t="shared" si="8"/>
        <v>Jan</v>
      </c>
      <c r="AC55" s="9">
        <f t="shared" si="9"/>
        <v>2024</v>
      </c>
      <c r="AD55" t="str">
        <f t="shared" si="10"/>
        <v>rediffmail.com</v>
      </c>
    </row>
    <row r="56" spans="1:30" x14ac:dyDescent="0.3">
      <c r="A56" t="s">
        <v>21</v>
      </c>
      <c r="B56" t="s">
        <v>121</v>
      </c>
      <c r="C56" t="s">
        <v>203</v>
      </c>
      <c r="D56">
        <v>28</v>
      </c>
      <c r="E56" t="s">
        <v>290</v>
      </c>
      <c r="F56" t="s">
        <v>294</v>
      </c>
      <c r="G56" t="s">
        <v>302</v>
      </c>
      <c r="H56" t="s">
        <v>402</v>
      </c>
      <c r="I56" t="s">
        <v>550</v>
      </c>
      <c r="J56" s="1">
        <v>45599</v>
      </c>
      <c r="K56" t="s">
        <v>1050</v>
      </c>
      <c r="L56" t="s">
        <v>1503</v>
      </c>
      <c r="M56">
        <v>363.64</v>
      </c>
      <c r="N56">
        <v>1</v>
      </c>
      <c r="O56" t="s">
        <v>1549</v>
      </c>
      <c r="P56">
        <v>3</v>
      </c>
      <c r="Q56">
        <v>70</v>
      </c>
      <c r="R56" s="1">
        <v>45606</v>
      </c>
      <c r="S56" t="s">
        <v>1602</v>
      </c>
      <c r="T56">
        <f t="shared" si="0"/>
        <v>7</v>
      </c>
      <c r="U56">
        <f t="shared" si="1"/>
        <v>363.64</v>
      </c>
      <c r="V56">
        <f t="shared" si="2"/>
        <v>433.64</v>
      </c>
      <c r="W56">
        <f t="shared" si="3"/>
        <v>0.1</v>
      </c>
      <c r="X56">
        <f t="shared" si="4"/>
        <v>36.363999999999997</v>
      </c>
      <c r="Y56">
        <f t="shared" si="5"/>
        <v>397.27600000000001</v>
      </c>
      <c r="Z56" t="str">
        <f t="shared" si="6"/>
        <v>John Ramirez</v>
      </c>
      <c r="AA56" s="1" t="str">
        <f t="shared" si="7"/>
        <v>Late</v>
      </c>
      <c r="AB56" t="str">
        <f t="shared" si="8"/>
        <v>Nov</v>
      </c>
      <c r="AC56" s="9">
        <f t="shared" si="9"/>
        <v>2024</v>
      </c>
      <c r="AD56" t="str">
        <f t="shared" si="10"/>
        <v>outlook.com</v>
      </c>
    </row>
    <row r="57" spans="1:30" x14ac:dyDescent="0.3">
      <c r="A57" t="s">
        <v>61</v>
      </c>
      <c r="B57" t="s">
        <v>158</v>
      </c>
      <c r="C57" t="s">
        <v>242</v>
      </c>
      <c r="D57">
        <v>28</v>
      </c>
      <c r="E57" t="s">
        <v>290</v>
      </c>
      <c r="F57" t="s">
        <v>295</v>
      </c>
      <c r="G57" t="s">
        <v>342</v>
      </c>
      <c r="H57" t="s">
        <v>442</v>
      </c>
      <c r="I57" t="s">
        <v>554</v>
      </c>
      <c r="J57" s="1">
        <v>45229</v>
      </c>
      <c r="K57" t="s">
        <v>1054</v>
      </c>
      <c r="L57" t="s">
        <v>1526</v>
      </c>
      <c r="M57">
        <v>405</v>
      </c>
      <c r="N57">
        <v>1</v>
      </c>
      <c r="O57" t="s">
        <v>1547</v>
      </c>
      <c r="P57">
        <v>5</v>
      </c>
      <c r="Q57">
        <v>44</v>
      </c>
      <c r="R57" s="1">
        <v>45233</v>
      </c>
      <c r="S57" t="s">
        <v>1606</v>
      </c>
      <c r="T57">
        <f t="shared" si="0"/>
        <v>4</v>
      </c>
      <c r="U57">
        <f t="shared" si="1"/>
        <v>405</v>
      </c>
      <c r="V57">
        <f t="shared" si="2"/>
        <v>405</v>
      </c>
      <c r="W57">
        <f t="shared" si="3"/>
        <v>0</v>
      </c>
      <c r="X57">
        <f t="shared" si="4"/>
        <v>0</v>
      </c>
      <c r="Y57">
        <f t="shared" si="5"/>
        <v>405</v>
      </c>
      <c r="Z57" t="str">
        <f t="shared" si="6"/>
        <v>Mary Knight</v>
      </c>
      <c r="AA57" s="1" t="str">
        <f t="shared" si="7"/>
        <v>Before Time</v>
      </c>
      <c r="AB57" t="str">
        <f t="shared" si="8"/>
        <v>Oct</v>
      </c>
      <c r="AC57" s="9">
        <f t="shared" si="9"/>
        <v>2023</v>
      </c>
      <c r="AD57" t="str">
        <f t="shared" si="10"/>
        <v>yahoo.com</v>
      </c>
    </row>
    <row r="58" spans="1:30" x14ac:dyDescent="0.3">
      <c r="A58" t="s">
        <v>62</v>
      </c>
      <c r="B58" t="s">
        <v>126</v>
      </c>
      <c r="C58" t="s">
        <v>243</v>
      </c>
      <c r="D58">
        <v>36</v>
      </c>
      <c r="E58" t="s">
        <v>289</v>
      </c>
      <c r="F58" t="s">
        <v>291</v>
      </c>
      <c r="G58" t="s">
        <v>343</v>
      </c>
      <c r="H58" t="s">
        <v>443</v>
      </c>
      <c r="I58" t="s">
        <v>555</v>
      </c>
      <c r="J58" s="1">
        <v>45149</v>
      </c>
      <c r="K58" t="s">
        <v>1055</v>
      </c>
      <c r="L58" t="s">
        <v>1520</v>
      </c>
      <c r="M58">
        <v>62.42</v>
      </c>
      <c r="N58">
        <v>2</v>
      </c>
      <c r="O58" t="s">
        <v>1548</v>
      </c>
      <c r="P58">
        <v>1</v>
      </c>
      <c r="Q58">
        <v>53</v>
      </c>
      <c r="R58" s="1">
        <v>45154</v>
      </c>
      <c r="S58" t="s">
        <v>1607</v>
      </c>
      <c r="T58">
        <f t="shared" si="0"/>
        <v>5</v>
      </c>
      <c r="U58">
        <f t="shared" si="1"/>
        <v>124.84</v>
      </c>
      <c r="V58">
        <f t="shared" si="2"/>
        <v>177.84</v>
      </c>
      <c r="W58">
        <f t="shared" si="3"/>
        <v>0.15</v>
      </c>
      <c r="X58">
        <f t="shared" si="4"/>
        <v>18.725999999999999</v>
      </c>
      <c r="Y58">
        <f t="shared" si="5"/>
        <v>159.114</v>
      </c>
      <c r="Z58" t="str">
        <f t="shared" si="6"/>
        <v>Marcus Rogers</v>
      </c>
      <c r="AA58" s="1" t="str">
        <f t="shared" si="7"/>
        <v>Late</v>
      </c>
      <c r="AB58" t="str">
        <f t="shared" si="8"/>
        <v>Aug</v>
      </c>
      <c r="AC58" s="9">
        <f t="shared" si="9"/>
        <v>2023</v>
      </c>
      <c r="AD58" t="str">
        <f t="shared" si="10"/>
        <v>outlook.com</v>
      </c>
    </row>
    <row r="59" spans="1:30" x14ac:dyDescent="0.3">
      <c r="A59" t="s">
        <v>85</v>
      </c>
      <c r="B59" t="s">
        <v>175</v>
      </c>
      <c r="C59" t="s">
        <v>262</v>
      </c>
      <c r="D59">
        <v>69</v>
      </c>
      <c r="E59" t="s">
        <v>288</v>
      </c>
      <c r="F59" t="s">
        <v>291</v>
      </c>
      <c r="G59" t="s">
        <v>366</v>
      </c>
      <c r="H59" t="s">
        <v>466</v>
      </c>
      <c r="I59" t="s">
        <v>602</v>
      </c>
      <c r="J59" s="1">
        <v>45213</v>
      </c>
      <c r="K59" t="s">
        <v>1102</v>
      </c>
      <c r="L59" t="s">
        <v>1513</v>
      </c>
      <c r="M59">
        <v>20.7</v>
      </c>
      <c r="N59">
        <v>5</v>
      </c>
      <c r="O59" t="s">
        <v>1548</v>
      </c>
      <c r="P59">
        <v>7</v>
      </c>
      <c r="Q59">
        <v>57</v>
      </c>
      <c r="R59" s="1">
        <v>45218</v>
      </c>
      <c r="S59" t="s">
        <v>1654</v>
      </c>
      <c r="T59">
        <f t="shared" si="0"/>
        <v>5</v>
      </c>
      <c r="U59">
        <f t="shared" si="1"/>
        <v>103.5</v>
      </c>
      <c r="V59">
        <f t="shared" si="2"/>
        <v>160.5</v>
      </c>
      <c r="W59">
        <f t="shared" si="3"/>
        <v>0.15</v>
      </c>
      <c r="X59">
        <f t="shared" si="4"/>
        <v>15.524999999999999</v>
      </c>
      <c r="Y59">
        <f t="shared" si="5"/>
        <v>144.97499999999999</v>
      </c>
      <c r="Z59" t="str">
        <f t="shared" si="6"/>
        <v>Brian Kennedy</v>
      </c>
      <c r="AA59" s="1" t="str">
        <f t="shared" si="7"/>
        <v>Before Time</v>
      </c>
      <c r="AB59" t="str">
        <f t="shared" si="8"/>
        <v>Oct</v>
      </c>
      <c r="AC59" s="9">
        <f t="shared" si="9"/>
        <v>2023</v>
      </c>
      <c r="AD59" t="str">
        <f t="shared" si="10"/>
        <v>outlook.com</v>
      </c>
    </row>
    <row r="60" spans="1:30" x14ac:dyDescent="0.3">
      <c r="A60" t="s">
        <v>64</v>
      </c>
      <c r="B60" t="s">
        <v>159</v>
      </c>
      <c r="C60" t="s">
        <v>245</v>
      </c>
      <c r="D60">
        <v>63</v>
      </c>
      <c r="E60" t="s">
        <v>288</v>
      </c>
      <c r="F60" t="s">
        <v>294</v>
      </c>
      <c r="G60" t="s">
        <v>345</v>
      </c>
      <c r="H60" t="s">
        <v>445</v>
      </c>
      <c r="I60" t="s">
        <v>557</v>
      </c>
      <c r="J60" s="1">
        <v>45655</v>
      </c>
      <c r="K60" t="s">
        <v>1057</v>
      </c>
      <c r="L60" t="s">
        <v>1503</v>
      </c>
      <c r="M60">
        <v>363.64</v>
      </c>
      <c r="N60">
        <v>3</v>
      </c>
      <c r="O60" t="s">
        <v>1549</v>
      </c>
      <c r="P60">
        <v>6</v>
      </c>
      <c r="Q60">
        <v>69</v>
      </c>
      <c r="R60" s="1">
        <v>45662</v>
      </c>
      <c r="S60" t="s">
        <v>1609</v>
      </c>
      <c r="T60">
        <f t="shared" si="0"/>
        <v>7</v>
      </c>
      <c r="U60">
        <f t="shared" si="1"/>
        <v>1090.92</v>
      </c>
      <c r="V60">
        <f t="shared" si="2"/>
        <v>1159.92</v>
      </c>
      <c r="W60">
        <f t="shared" si="3"/>
        <v>0.1</v>
      </c>
      <c r="X60">
        <f t="shared" si="4"/>
        <v>109.09200000000001</v>
      </c>
      <c r="Y60">
        <f t="shared" si="5"/>
        <v>1050.828</v>
      </c>
      <c r="Z60" t="str">
        <f t="shared" si="6"/>
        <v>Rebecca Figueroa</v>
      </c>
      <c r="AA60" s="1" t="str">
        <f t="shared" si="7"/>
        <v>Late</v>
      </c>
      <c r="AB60" t="str">
        <f t="shared" si="8"/>
        <v>Dec</v>
      </c>
      <c r="AC60" s="9">
        <f t="shared" si="9"/>
        <v>2024</v>
      </c>
      <c r="AD60" t="str">
        <f t="shared" si="10"/>
        <v>outlook.com</v>
      </c>
    </row>
    <row r="61" spans="1:30" x14ac:dyDescent="0.3">
      <c r="A61" t="s">
        <v>65</v>
      </c>
      <c r="B61" t="s">
        <v>160</v>
      </c>
      <c r="C61" t="s">
        <v>246</v>
      </c>
      <c r="D61">
        <v>18</v>
      </c>
      <c r="E61" t="s">
        <v>289</v>
      </c>
      <c r="F61" t="s">
        <v>292</v>
      </c>
      <c r="G61" t="s">
        <v>346</v>
      </c>
      <c r="H61" t="s">
        <v>446</v>
      </c>
      <c r="I61" t="s">
        <v>558</v>
      </c>
      <c r="J61" s="1">
        <v>44972</v>
      </c>
      <c r="K61" t="s">
        <v>1058</v>
      </c>
      <c r="L61" t="s">
        <v>1531</v>
      </c>
      <c r="M61">
        <v>286.07</v>
      </c>
      <c r="N61">
        <v>3</v>
      </c>
      <c r="O61" t="s">
        <v>1550</v>
      </c>
      <c r="P61">
        <v>2</v>
      </c>
      <c r="Q61">
        <v>54</v>
      </c>
      <c r="R61" s="1">
        <v>44977</v>
      </c>
      <c r="S61" t="s">
        <v>1610</v>
      </c>
      <c r="T61">
        <f t="shared" si="0"/>
        <v>5</v>
      </c>
      <c r="U61">
        <f t="shared" si="1"/>
        <v>858.21</v>
      </c>
      <c r="V61">
        <f t="shared" si="2"/>
        <v>912.21</v>
      </c>
      <c r="W61">
        <f t="shared" si="3"/>
        <v>0.2</v>
      </c>
      <c r="X61">
        <f t="shared" si="4"/>
        <v>171.64200000000002</v>
      </c>
      <c r="Y61">
        <f t="shared" si="5"/>
        <v>740.56799999999998</v>
      </c>
      <c r="Z61" t="str">
        <f t="shared" si="6"/>
        <v>Lori Cook</v>
      </c>
      <c r="AA61" s="1" t="str">
        <f t="shared" si="7"/>
        <v>Late</v>
      </c>
      <c r="AB61" t="str">
        <f t="shared" si="8"/>
        <v>Feb</v>
      </c>
      <c r="AC61" s="9">
        <f t="shared" si="9"/>
        <v>2023</v>
      </c>
      <c r="AD61" t="str">
        <f t="shared" si="10"/>
        <v>rediffmail.com</v>
      </c>
    </row>
    <row r="62" spans="1:30" x14ac:dyDescent="0.3">
      <c r="A62" t="s">
        <v>66</v>
      </c>
      <c r="B62" t="s">
        <v>127</v>
      </c>
      <c r="C62" t="s">
        <v>247</v>
      </c>
      <c r="D62">
        <v>33</v>
      </c>
      <c r="E62" t="s">
        <v>288</v>
      </c>
      <c r="F62" t="s">
        <v>297</v>
      </c>
      <c r="G62" t="s">
        <v>347</v>
      </c>
      <c r="H62" t="s">
        <v>447</v>
      </c>
      <c r="I62" t="s">
        <v>559</v>
      </c>
      <c r="J62" s="1">
        <v>45435</v>
      </c>
      <c r="K62" t="s">
        <v>1059</v>
      </c>
      <c r="L62" t="s">
        <v>1532</v>
      </c>
      <c r="M62">
        <v>87.09</v>
      </c>
      <c r="N62">
        <v>4</v>
      </c>
      <c r="O62" t="s">
        <v>1547</v>
      </c>
      <c r="P62">
        <v>6</v>
      </c>
      <c r="Q62">
        <v>63</v>
      </c>
      <c r="R62" s="1">
        <v>45439</v>
      </c>
      <c r="S62" t="s">
        <v>1611</v>
      </c>
      <c r="T62">
        <f t="shared" si="0"/>
        <v>4</v>
      </c>
      <c r="U62">
        <f t="shared" si="1"/>
        <v>348.36</v>
      </c>
      <c r="V62">
        <f t="shared" si="2"/>
        <v>348.36</v>
      </c>
      <c r="W62">
        <f t="shared" si="3"/>
        <v>0</v>
      </c>
      <c r="X62">
        <f t="shared" si="4"/>
        <v>0</v>
      </c>
      <c r="Y62">
        <f t="shared" si="5"/>
        <v>348.36</v>
      </c>
      <c r="Z62" t="str">
        <f t="shared" si="6"/>
        <v>Debra Hayes</v>
      </c>
      <c r="AA62" s="1" t="str">
        <f t="shared" si="7"/>
        <v>Before Time</v>
      </c>
      <c r="AB62" t="str">
        <f t="shared" si="8"/>
        <v>May</v>
      </c>
      <c r="AC62" s="9">
        <f t="shared" si="9"/>
        <v>2024</v>
      </c>
      <c r="AD62" t="str">
        <f t="shared" si="10"/>
        <v>yahoo.com</v>
      </c>
    </row>
    <row r="63" spans="1:30" x14ac:dyDescent="0.3">
      <c r="A63" t="s">
        <v>67</v>
      </c>
      <c r="B63" t="s">
        <v>161</v>
      </c>
      <c r="C63" t="s">
        <v>211</v>
      </c>
      <c r="D63">
        <v>68</v>
      </c>
      <c r="E63" t="s">
        <v>290</v>
      </c>
      <c r="F63" t="s">
        <v>298</v>
      </c>
      <c r="G63" t="s">
        <v>348</v>
      </c>
      <c r="H63" t="s">
        <v>448</v>
      </c>
      <c r="I63" t="s">
        <v>560</v>
      </c>
      <c r="J63" s="1">
        <v>45002</v>
      </c>
      <c r="K63" t="s">
        <v>1060</v>
      </c>
      <c r="L63" t="s">
        <v>1504</v>
      </c>
      <c r="M63">
        <v>275.44</v>
      </c>
      <c r="N63">
        <v>4</v>
      </c>
      <c r="O63" t="s">
        <v>2047</v>
      </c>
      <c r="P63">
        <v>4</v>
      </c>
      <c r="Q63">
        <v>40</v>
      </c>
      <c r="R63" s="1">
        <v>45007</v>
      </c>
      <c r="S63" t="s">
        <v>1612</v>
      </c>
      <c r="T63">
        <f t="shared" si="0"/>
        <v>5</v>
      </c>
      <c r="U63">
        <f t="shared" si="1"/>
        <v>1101.76</v>
      </c>
      <c r="V63">
        <f t="shared" si="2"/>
        <v>1141.76</v>
      </c>
      <c r="W63">
        <f t="shared" si="3"/>
        <v>0.08</v>
      </c>
      <c r="X63">
        <f t="shared" si="4"/>
        <v>88.140799999999999</v>
      </c>
      <c r="Y63">
        <f t="shared" si="5"/>
        <v>1053.6192000000001</v>
      </c>
      <c r="Z63" t="str">
        <f t="shared" si="6"/>
        <v>Brittany Stewart</v>
      </c>
      <c r="AA63" s="1" t="str">
        <f t="shared" si="7"/>
        <v>Late</v>
      </c>
      <c r="AB63" t="str">
        <f t="shared" si="8"/>
        <v>Mar</v>
      </c>
      <c r="AC63" s="9">
        <f t="shared" si="9"/>
        <v>2023</v>
      </c>
      <c r="AD63" t="str">
        <f t="shared" si="10"/>
        <v>gmail.com</v>
      </c>
    </row>
    <row r="64" spans="1:30" x14ac:dyDescent="0.3">
      <c r="A64" t="s">
        <v>68</v>
      </c>
      <c r="B64" t="s">
        <v>162</v>
      </c>
      <c r="C64" t="s">
        <v>232</v>
      </c>
      <c r="D64">
        <v>39</v>
      </c>
      <c r="E64" t="s">
        <v>290</v>
      </c>
      <c r="F64" t="s">
        <v>292</v>
      </c>
      <c r="G64" t="s">
        <v>349</v>
      </c>
      <c r="H64" t="s">
        <v>449</v>
      </c>
      <c r="I64" t="s">
        <v>561</v>
      </c>
      <c r="J64" s="1">
        <v>45680</v>
      </c>
      <c r="K64" t="s">
        <v>1061</v>
      </c>
      <c r="L64" t="s">
        <v>1519</v>
      </c>
      <c r="M64">
        <v>421.7</v>
      </c>
      <c r="N64">
        <v>1</v>
      </c>
      <c r="O64" t="s">
        <v>1549</v>
      </c>
      <c r="P64">
        <v>3</v>
      </c>
      <c r="Q64">
        <v>59</v>
      </c>
      <c r="R64" s="1">
        <v>45684</v>
      </c>
      <c r="S64" t="s">
        <v>1613</v>
      </c>
      <c r="T64">
        <f t="shared" si="0"/>
        <v>4</v>
      </c>
      <c r="U64">
        <f t="shared" si="1"/>
        <v>421.7</v>
      </c>
      <c r="V64">
        <f t="shared" si="2"/>
        <v>480.7</v>
      </c>
      <c r="W64">
        <f t="shared" si="3"/>
        <v>0.1</v>
      </c>
      <c r="X64">
        <f t="shared" si="4"/>
        <v>42.17</v>
      </c>
      <c r="Y64">
        <f t="shared" si="5"/>
        <v>438.53</v>
      </c>
      <c r="Z64" t="str">
        <f t="shared" si="6"/>
        <v>Mitchell Parker</v>
      </c>
      <c r="AA64" s="1" t="str">
        <f t="shared" si="7"/>
        <v>Late</v>
      </c>
      <c r="AB64" t="str">
        <f t="shared" si="8"/>
        <v>Jan</v>
      </c>
      <c r="AC64" s="9">
        <f t="shared" si="9"/>
        <v>2025</v>
      </c>
      <c r="AD64" t="str">
        <f t="shared" si="10"/>
        <v>yahoo.com</v>
      </c>
    </row>
    <row r="65" spans="1:30" x14ac:dyDescent="0.3">
      <c r="A65" t="s">
        <v>40</v>
      </c>
      <c r="B65" t="s">
        <v>121</v>
      </c>
      <c r="C65" t="s">
        <v>221</v>
      </c>
      <c r="D65">
        <v>64</v>
      </c>
      <c r="E65" t="s">
        <v>289</v>
      </c>
      <c r="F65" t="s">
        <v>292</v>
      </c>
      <c r="G65" t="s">
        <v>321</v>
      </c>
      <c r="H65" t="s">
        <v>421</v>
      </c>
      <c r="I65" t="s">
        <v>562</v>
      </c>
      <c r="J65" s="1">
        <v>45629</v>
      </c>
      <c r="K65" t="s">
        <v>1062</v>
      </c>
      <c r="L65" t="s">
        <v>1511</v>
      </c>
      <c r="M65">
        <v>272.51</v>
      </c>
      <c r="N65">
        <v>1</v>
      </c>
      <c r="O65" t="s">
        <v>1550</v>
      </c>
      <c r="P65">
        <v>4</v>
      </c>
      <c r="Q65">
        <v>43</v>
      </c>
      <c r="R65" s="1">
        <v>45630</v>
      </c>
      <c r="S65" t="s">
        <v>1614</v>
      </c>
      <c r="T65">
        <f t="shared" si="0"/>
        <v>1</v>
      </c>
      <c r="U65">
        <f t="shared" si="1"/>
        <v>272.51</v>
      </c>
      <c r="V65">
        <f t="shared" si="2"/>
        <v>315.51</v>
      </c>
      <c r="W65">
        <f t="shared" si="3"/>
        <v>0.2</v>
      </c>
      <c r="X65">
        <f t="shared" si="4"/>
        <v>54.502000000000002</v>
      </c>
      <c r="Y65">
        <f t="shared" si="5"/>
        <v>261.00799999999998</v>
      </c>
      <c r="Z65" t="str">
        <f t="shared" si="6"/>
        <v>John Herrera</v>
      </c>
      <c r="AA65" s="1" t="str">
        <f t="shared" si="7"/>
        <v>Before Time</v>
      </c>
      <c r="AB65" t="str">
        <f t="shared" si="8"/>
        <v>Dec</v>
      </c>
      <c r="AC65" s="9">
        <f t="shared" si="9"/>
        <v>2024</v>
      </c>
      <c r="AD65" t="str">
        <f t="shared" si="10"/>
        <v>outlook.com</v>
      </c>
    </row>
    <row r="66" spans="1:30" x14ac:dyDescent="0.3">
      <c r="A66" t="s">
        <v>69</v>
      </c>
      <c r="B66" t="s">
        <v>163</v>
      </c>
      <c r="C66" t="s">
        <v>238</v>
      </c>
      <c r="D66">
        <v>57</v>
      </c>
      <c r="E66" t="s">
        <v>289</v>
      </c>
      <c r="F66" t="s">
        <v>298</v>
      </c>
      <c r="G66" t="s">
        <v>350</v>
      </c>
      <c r="H66" t="s">
        <v>450</v>
      </c>
      <c r="I66" t="s">
        <v>563</v>
      </c>
      <c r="J66" s="1">
        <v>45346</v>
      </c>
      <c r="K66" t="s">
        <v>1063</v>
      </c>
      <c r="L66" t="s">
        <v>1508</v>
      </c>
      <c r="M66">
        <v>175.93</v>
      </c>
      <c r="N66">
        <v>3</v>
      </c>
      <c r="O66" t="s">
        <v>2047</v>
      </c>
      <c r="P66">
        <v>4</v>
      </c>
      <c r="Q66">
        <v>46</v>
      </c>
      <c r="R66" s="1">
        <v>45351</v>
      </c>
      <c r="S66" t="s">
        <v>1615</v>
      </c>
      <c r="T66">
        <f t="shared" si="0"/>
        <v>5</v>
      </c>
      <c r="U66">
        <f t="shared" si="1"/>
        <v>527.79</v>
      </c>
      <c r="V66">
        <f t="shared" si="2"/>
        <v>573.79</v>
      </c>
      <c r="W66">
        <f t="shared" si="3"/>
        <v>0.08</v>
      </c>
      <c r="X66">
        <f t="shared" si="4"/>
        <v>42.223199999999999</v>
      </c>
      <c r="Y66">
        <f t="shared" si="5"/>
        <v>531.56679999999994</v>
      </c>
      <c r="Z66" t="str">
        <f t="shared" si="6"/>
        <v>Sharon Thompson</v>
      </c>
      <c r="AA66" s="1" t="str">
        <f t="shared" si="7"/>
        <v>Late</v>
      </c>
      <c r="AB66" t="str">
        <f t="shared" si="8"/>
        <v>Feb</v>
      </c>
      <c r="AC66" s="9">
        <f t="shared" si="9"/>
        <v>2024</v>
      </c>
      <c r="AD66" t="str">
        <f t="shared" si="10"/>
        <v>yahoo.com</v>
      </c>
    </row>
    <row r="67" spans="1:30" x14ac:dyDescent="0.3">
      <c r="A67" t="s">
        <v>70</v>
      </c>
      <c r="B67" t="s">
        <v>164</v>
      </c>
      <c r="C67" t="s">
        <v>248</v>
      </c>
      <c r="D67">
        <v>64</v>
      </c>
      <c r="E67" t="s">
        <v>288</v>
      </c>
      <c r="F67" t="s">
        <v>291</v>
      </c>
      <c r="G67" t="s">
        <v>351</v>
      </c>
      <c r="H67" t="s">
        <v>451</v>
      </c>
      <c r="I67" t="s">
        <v>564</v>
      </c>
      <c r="J67" s="1">
        <v>45503</v>
      </c>
      <c r="K67" t="s">
        <v>1064</v>
      </c>
      <c r="L67" t="s">
        <v>1533</v>
      </c>
      <c r="M67">
        <v>136.30000000000001</v>
      </c>
      <c r="N67">
        <v>5</v>
      </c>
      <c r="O67" t="s">
        <v>1548</v>
      </c>
      <c r="P67">
        <v>6</v>
      </c>
      <c r="Q67">
        <v>39</v>
      </c>
      <c r="R67" s="1">
        <v>45510</v>
      </c>
      <c r="S67" t="s">
        <v>1616</v>
      </c>
      <c r="T67">
        <f t="shared" ref="T67:T130" si="11">R67-J67</f>
        <v>7</v>
      </c>
      <c r="U67">
        <f t="shared" ref="U67:U130" si="12">M67*N67</f>
        <v>681.5</v>
      </c>
      <c r="V67">
        <f t="shared" ref="V67:V130" si="13">IF(O67="DEL0",U67,U67+Q67)</f>
        <v>720.5</v>
      </c>
      <c r="W67">
        <f t="shared" ref="W67:W130" si="14">IF(O67="FLAT8",8%,IF(O67="FLAT10",10%,IF(O67="FLAT15",15%,IF(O67="FLAT20",20%,0))))</f>
        <v>0.15</v>
      </c>
      <c r="X67">
        <f t="shared" ref="X67:X130" si="15">U67*W67</f>
        <v>102.22499999999999</v>
      </c>
      <c r="Y67">
        <f t="shared" ref="Y67:Y130" si="16">V67-X67</f>
        <v>618.27499999999998</v>
      </c>
      <c r="Z67" t="str">
        <f t="shared" ref="Z67:Z130" si="17">B67&amp;" "&amp;C67</f>
        <v>Sarah Butler</v>
      </c>
      <c r="AA67" s="1" t="str">
        <f t="shared" ref="AA67:AA130" si="18">IF(R67&lt;(J67+P67),"Before Time",IF(R67=(J67+P67),"In Time","Late"))</f>
        <v>Late</v>
      </c>
      <c r="AB67" t="str">
        <f t="shared" ref="AB67:AB130" si="19">TEXT(J67,"MMM")</f>
        <v>Jul</v>
      </c>
      <c r="AC67" s="9">
        <f t="shared" ref="AC67:AC130" si="20">YEAR(J67)</f>
        <v>2024</v>
      </c>
      <c r="AD67" t="str">
        <f t="shared" ref="AD67:AD130" si="21">RIGHT(G67,LEN(G67)-FIND("@",G67))</f>
        <v>rediffmail.com</v>
      </c>
    </row>
    <row r="68" spans="1:30" x14ac:dyDescent="0.3">
      <c r="A68" t="s">
        <v>44</v>
      </c>
      <c r="B68" t="s">
        <v>142</v>
      </c>
      <c r="C68" t="s">
        <v>225</v>
      </c>
      <c r="D68">
        <v>60</v>
      </c>
      <c r="E68" t="s">
        <v>290</v>
      </c>
      <c r="F68" t="s">
        <v>291</v>
      </c>
      <c r="G68" t="s">
        <v>325</v>
      </c>
      <c r="H68" t="s">
        <v>425</v>
      </c>
      <c r="I68" t="s">
        <v>565</v>
      </c>
      <c r="J68" s="1">
        <v>45451</v>
      </c>
      <c r="K68" t="s">
        <v>1065</v>
      </c>
      <c r="L68" t="s">
        <v>1499</v>
      </c>
      <c r="M68">
        <v>441.03</v>
      </c>
      <c r="N68">
        <v>2</v>
      </c>
      <c r="O68" t="s">
        <v>1549</v>
      </c>
      <c r="P68">
        <v>3</v>
      </c>
      <c r="Q68">
        <v>49</v>
      </c>
      <c r="R68" s="1">
        <v>45458</v>
      </c>
      <c r="S68" t="s">
        <v>1617</v>
      </c>
      <c r="T68">
        <f t="shared" si="11"/>
        <v>7</v>
      </c>
      <c r="U68">
        <f t="shared" si="12"/>
        <v>882.06</v>
      </c>
      <c r="V68">
        <f t="shared" si="13"/>
        <v>931.06</v>
      </c>
      <c r="W68">
        <f t="shared" si="14"/>
        <v>0.1</v>
      </c>
      <c r="X68">
        <f t="shared" si="15"/>
        <v>88.206000000000003</v>
      </c>
      <c r="Y68">
        <f t="shared" si="16"/>
        <v>842.85399999999993</v>
      </c>
      <c r="Z68" t="str">
        <f t="shared" si="17"/>
        <v>Ashley Rose</v>
      </c>
      <c r="AA68" s="1" t="str">
        <f t="shared" si="18"/>
        <v>Late</v>
      </c>
      <c r="AB68" t="str">
        <f t="shared" si="19"/>
        <v>Jun</v>
      </c>
      <c r="AC68" s="9">
        <f t="shared" si="20"/>
        <v>2024</v>
      </c>
      <c r="AD68" t="str">
        <f t="shared" si="21"/>
        <v>gmail.com</v>
      </c>
    </row>
    <row r="69" spans="1:30" x14ac:dyDescent="0.3">
      <c r="A69" t="s">
        <v>71</v>
      </c>
      <c r="B69" t="s">
        <v>165</v>
      </c>
      <c r="C69" t="s">
        <v>249</v>
      </c>
      <c r="D69">
        <v>42</v>
      </c>
      <c r="E69" t="s">
        <v>290</v>
      </c>
      <c r="F69" t="s">
        <v>295</v>
      </c>
      <c r="G69" t="s">
        <v>352</v>
      </c>
      <c r="H69" t="s">
        <v>452</v>
      </c>
      <c r="I69" t="s">
        <v>566</v>
      </c>
      <c r="J69" s="1">
        <v>45322</v>
      </c>
      <c r="K69" t="s">
        <v>1066</v>
      </c>
      <c r="L69" t="s">
        <v>1530</v>
      </c>
      <c r="M69">
        <v>369.03</v>
      </c>
      <c r="N69">
        <v>4</v>
      </c>
      <c r="O69" t="s">
        <v>1550</v>
      </c>
      <c r="P69">
        <v>7</v>
      </c>
      <c r="Q69">
        <v>52</v>
      </c>
      <c r="R69" s="1">
        <v>45327</v>
      </c>
      <c r="S69" t="s">
        <v>1618</v>
      </c>
      <c r="T69">
        <f t="shared" si="11"/>
        <v>5</v>
      </c>
      <c r="U69">
        <f t="shared" si="12"/>
        <v>1476.12</v>
      </c>
      <c r="V69">
        <f t="shared" si="13"/>
        <v>1528.12</v>
      </c>
      <c r="W69">
        <f t="shared" si="14"/>
        <v>0.2</v>
      </c>
      <c r="X69">
        <f t="shared" si="15"/>
        <v>295.22399999999999</v>
      </c>
      <c r="Y69">
        <f t="shared" si="16"/>
        <v>1232.896</v>
      </c>
      <c r="Z69" t="str">
        <f t="shared" si="17"/>
        <v>Katherine Weber</v>
      </c>
      <c r="AA69" s="1" t="str">
        <f t="shared" si="18"/>
        <v>Before Time</v>
      </c>
      <c r="AB69" t="str">
        <f t="shared" si="19"/>
        <v>Jan</v>
      </c>
      <c r="AC69" s="9">
        <f t="shared" si="20"/>
        <v>2024</v>
      </c>
      <c r="AD69" t="str">
        <f t="shared" si="21"/>
        <v>outlook.com</v>
      </c>
    </row>
    <row r="70" spans="1:30" x14ac:dyDescent="0.3">
      <c r="A70" t="s">
        <v>42</v>
      </c>
      <c r="B70" t="s">
        <v>140</v>
      </c>
      <c r="C70" t="s">
        <v>223</v>
      </c>
      <c r="D70">
        <v>51</v>
      </c>
      <c r="E70" t="s">
        <v>290</v>
      </c>
      <c r="F70" t="s">
        <v>294</v>
      </c>
      <c r="G70" t="s">
        <v>323</v>
      </c>
      <c r="H70" t="s">
        <v>423</v>
      </c>
      <c r="I70" t="s">
        <v>525</v>
      </c>
      <c r="J70" s="1">
        <v>45277</v>
      </c>
      <c r="K70" t="s">
        <v>1025</v>
      </c>
      <c r="L70" t="s">
        <v>1518</v>
      </c>
      <c r="M70">
        <v>496.59</v>
      </c>
      <c r="N70">
        <v>4</v>
      </c>
      <c r="O70" t="s">
        <v>1548</v>
      </c>
      <c r="P70">
        <v>7</v>
      </c>
      <c r="Q70">
        <v>36</v>
      </c>
      <c r="R70" s="1">
        <v>45280</v>
      </c>
      <c r="S70" t="s">
        <v>1577</v>
      </c>
      <c r="T70">
        <f t="shared" si="11"/>
        <v>3</v>
      </c>
      <c r="U70">
        <f t="shared" si="12"/>
        <v>1986.36</v>
      </c>
      <c r="V70">
        <f t="shared" si="13"/>
        <v>2022.36</v>
      </c>
      <c r="W70">
        <f t="shared" si="14"/>
        <v>0.15</v>
      </c>
      <c r="X70">
        <f t="shared" si="15"/>
        <v>297.95399999999995</v>
      </c>
      <c r="Y70">
        <f t="shared" si="16"/>
        <v>1724.4059999999999</v>
      </c>
      <c r="Z70" t="str">
        <f t="shared" si="17"/>
        <v>Jason Nguyen</v>
      </c>
      <c r="AA70" s="1" t="str">
        <f t="shared" si="18"/>
        <v>Before Time</v>
      </c>
      <c r="AB70" t="str">
        <f t="shared" si="19"/>
        <v>Dec</v>
      </c>
      <c r="AC70" s="9">
        <f t="shared" si="20"/>
        <v>2023</v>
      </c>
      <c r="AD70" t="str">
        <f t="shared" si="21"/>
        <v>yahoo.com</v>
      </c>
    </row>
    <row r="71" spans="1:30" x14ac:dyDescent="0.3">
      <c r="A71" t="s">
        <v>73</v>
      </c>
      <c r="B71" t="s">
        <v>166</v>
      </c>
      <c r="C71" t="s">
        <v>251</v>
      </c>
      <c r="D71">
        <v>32</v>
      </c>
      <c r="E71" t="s">
        <v>290</v>
      </c>
      <c r="F71" t="s">
        <v>296</v>
      </c>
      <c r="G71" t="s">
        <v>354</v>
      </c>
      <c r="H71" t="s">
        <v>454</v>
      </c>
      <c r="I71" t="s">
        <v>568</v>
      </c>
      <c r="J71" s="1">
        <v>45586</v>
      </c>
      <c r="K71" t="s">
        <v>1068</v>
      </c>
      <c r="L71" t="s">
        <v>1518</v>
      </c>
      <c r="M71">
        <v>496.59</v>
      </c>
      <c r="N71">
        <v>2</v>
      </c>
      <c r="O71" t="s">
        <v>2047</v>
      </c>
      <c r="P71">
        <v>5</v>
      </c>
      <c r="Q71">
        <v>41</v>
      </c>
      <c r="R71" s="1">
        <v>45588</v>
      </c>
      <c r="S71" t="s">
        <v>1620</v>
      </c>
      <c r="T71">
        <f t="shared" si="11"/>
        <v>2</v>
      </c>
      <c r="U71">
        <f t="shared" si="12"/>
        <v>993.18</v>
      </c>
      <c r="V71">
        <f t="shared" si="13"/>
        <v>1034.1799999999998</v>
      </c>
      <c r="W71">
        <f t="shared" si="14"/>
        <v>0.08</v>
      </c>
      <c r="X71">
        <f t="shared" si="15"/>
        <v>79.454399999999993</v>
      </c>
      <c r="Y71">
        <f t="shared" si="16"/>
        <v>954.72559999999987</v>
      </c>
      <c r="Z71" t="str">
        <f t="shared" si="17"/>
        <v>Brandon Cruz</v>
      </c>
      <c r="AA71" s="1" t="str">
        <f t="shared" si="18"/>
        <v>Before Time</v>
      </c>
      <c r="AB71" t="str">
        <f t="shared" si="19"/>
        <v>Oct</v>
      </c>
      <c r="AC71" s="9">
        <f t="shared" si="20"/>
        <v>2024</v>
      </c>
      <c r="AD71" t="str">
        <f t="shared" si="21"/>
        <v>gmail.com</v>
      </c>
    </row>
    <row r="72" spans="1:30" x14ac:dyDescent="0.3">
      <c r="A72" t="s">
        <v>18</v>
      </c>
      <c r="B72" t="s">
        <v>118</v>
      </c>
      <c r="C72" t="s">
        <v>201</v>
      </c>
      <c r="D72">
        <v>37</v>
      </c>
      <c r="E72" t="s">
        <v>288</v>
      </c>
      <c r="F72" t="s">
        <v>291</v>
      </c>
      <c r="G72" t="s">
        <v>299</v>
      </c>
      <c r="H72" t="s">
        <v>399</v>
      </c>
      <c r="I72" t="s">
        <v>569</v>
      </c>
      <c r="J72" s="1">
        <v>45567</v>
      </c>
      <c r="K72" t="s">
        <v>1069</v>
      </c>
      <c r="L72" t="s">
        <v>1497</v>
      </c>
      <c r="M72">
        <v>308.88</v>
      </c>
      <c r="N72">
        <v>1</v>
      </c>
      <c r="O72" t="s">
        <v>1547</v>
      </c>
      <c r="P72">
        <v>6</v>
      </c>
      <c r="Q72">
        <v>62</v>
      </c>
      <c r="R72" s="1">
        <v>45569</v>
      </c>
      <c r="S72" t="s">
        <v>1621</v>
      </c>
      <c r="T72">
        <f t="shared" si="11"/>
        <v>2</v>
      </c>
      <c r="U72">
        <f t="shared" si="12"/>
        <v>308.88</v>
      </c>
      <c r="V72">
        <f t="shared" si="13"/>
        <v>308.88</v>
      </c>
      <c r="W72">
        <f t="shared" si="14"/>
        <v>0</v>
      </c>
      <c r="X72">
        <f t="shared" si="15"/>
        <v>0</v>
      </c>
      <c r="Y72">
        <f t="shared" si="16"/>
        <v>308.88</v>
      </c>
      <c r="Z72" t="str">
        <f t="shared" si="17"/>
        <v>Anne Oconnell</v>
      </c>
      <c r="AA72" s="1" t="str">
        <f t="shared" si="18"/>
        <v>Before Time</v>
      </c>
      <c r="AB72" t="str">
        <f t="shared" si="19"/>
        <v>Oct</v>
      </c>
      <c r="AC72" s="9">
        <f t="shared" si="20"/>
        <v>2024</v>
      </c>
      <c r="AD72" t="str">
        <f t="shared" si="21"/>
        <v>outlook.com</v>
      </c>
    </row>
    <row r="73" spans="1:30" x14ac:dyDescent="0.3">
      <c r="A73" t="s">
        <v>74</v>
      </c>
      <c r="B73" t="s">
        <v>167</v>
      </c>
      <c r="C73" t="s">
        <v>252</v>
      </c>
      <c r="D73">
        <v>33</v>
      </c>
      <c r="E73" t="s">
        <v>290</v>
      </c>
      <c r="F73" t="s">
        <v>297</v>
      </c>
      <c r="G73" t="s">
        <v>355</v>
      </c>
      <c r="H73" t="s">
        <v>455</v>
      </c>
      <c r="I73" t="s">
        <v>570</v>
      </c>
      <c r="J73" s="1">
        <v>45495</v>
      </c>
      <c r="K73" t="s">
        <v>1070</v>
      </c>
      <c r="L73" t="s">
        <v>1534</v>
      </c>
      <c r="M73">
        <v>425.59</v>
      </c>
      <c r="N73">
        <v>4</v>
      </c>
      <c r="O73" t="s">
        <v>1547</v>
      </c>
      <c r="P73">
        <v>6</v>
      </c>
      <c r="Q73">
        <v>53</v>
      </c>
      <c r="R73" s="1">
        <v>45496</v>
      </c>
      <c r="S73" t="s">
        <v>1622</v>
      </c>
      <c r="T73">
        <f t="shared" si="11"/>
        <v>1</v>
      </c>
      <c r="U73">
        <f t="shared" si="12"/>
        <v>1702.36</v>
      </c>
      <c r="V73">
        <f t="shared" si="13"/>
        <v>1702.36</v>
      </c>
      <c r="W73">
        <f t="shared" si="14"/>
        <v>0</v>
      </c>
      <c r="X73">
        <f t="shared" si="15"/>
        <v>0</v>
      </c>
      <c r="Y73">
        <f t="shared" si="16"/>
        <v>1702.36</v>
      </c>
      <c r="Z73" t="str">
        <f t="shared" si="17"/>
        <v>Jodi Whitney</v>
      </c>
      <c r="AA73" s="1" t="str">
        <f t="shared" si="18"/>
        <v>Before Time</v>
      </c>
      <c r="AB73" t="str">
        <f t="shared" si="19"/>
        <v>Jul</v>
      </c>
      <c r="AC73" s="9">
        <f t="shared" si="20"/>
        <v>2024</v>
      </c>
      <c r="AD73" t="str">
        <f t="shared" si="21"/>
        <v>yahoo.com</v>
      </c>
    </row>
    <row r="74" spans="1:30" x14ac:dyDescent="0.3">
      <c r="A74" t="s">
        <v>39</v>
      </c>
      <c r="B74" t="s">
        <v>139</v>
      </c>
      <c r="C74" t="s">
        <v>220</v>
      </c>
      <c r="D74">
        <v>33</v>
      </c>
      <c r="E74" t="s">
        <v>290</v>
      </c>
      <c r="F74" t="s">
        <v>298</v>
      </c>
      <c r="G74" t="s">
        <v>320</v>
      </c>
      <c r="H74" t="s">
        <v>420</v>
      </c>
      <c r="I74" t="s">
        <v>571</v>
      </c>
      <c r="J74" s="1">
        <v>45355</v>
      </c>
      <c r="K74" t="s">
        <v>1071</v>
      </c>
      <c r="L74" t="s">
        <v>1497</v>
      </c>
      <c r="M74">
        <v>308.88</v>
      </c>
      <c r="N74">
        <v>1</v>
      </c>
      <c r="O74" t="s">
        <v>1549</v>
      </c>
      <c r="P74">
        <v>1</v>
      </c>
      <c r="Q74">
        <v>56</v>
      </c>
      <c r="R74" s="1">
        <v>45360</v>
      </c>
      <c r="S74" t="s">
        <v>1623</v>
      </c>
      <c r="T74">
        <f t="shared" si="11"/>
        <v>5</v>
      </c>
      <c r="U74">
        <f t="shared" si="12"/>
        <v>308.88</v>
      </c>
      <c r="V74">
        <f t="shared" si="13"/>
        <v>364.88</v>
      </c>
      <c r="W74">
        <f t="shared" si="14"/>
        <v>0.1</v>
      </c>
      <c r="X74">
        <f t="shared" si="15"/>
        <v>30.888000000000002</v>
      </c>
      <c r="Y74">
        <f t="shared" si="16"/>
        <v>333.99200000000002</v>
      </c>
      <c r="Z74" t="str">
        <f t="shared" si="17"/>
        <v>Mark Henderson</v>
      </c>
      <c r="AA74" s="1" t="str">
        <f t="shared" si="18"/>
        <v>Late</v>
      </c>
      <c r="AB74" t="str">
        <f t="shared" si="19"/>
        <v>Mar</v>
      </c>
      <c r="AC74" s="9">
        <f t="shared" si="20"/>
        <v>2024</v>
      </c>
      <c r="AD74" t="str">
        <f t="shared" si="21"/>
        <v>yahoo.com</v>
      </c>
    </row>
    <row r="75" spans="1:30" x14ac:dyDescent="0.3">
      <c r="A75" t="s">
        <v>85</v>
      </c>
      <c r="B75" t="s">
        <v>175</v>
      </c>
      <c r="C75" t="s">
        <v>262</v>
      </c>
      <c r="D75">
        <v>69</v>
      </c>
      <c r="E75" t="s">
        <v>288</v>
      </c>
      <c r="F75" t="s">
        <v>291</v>
      </c>
      <c r="G75" t="s">
        <v>366</v>
      </c>
      <c r="H75" t="s">
        <v>466</v>
      </c>
      <c r="I75" t="s">
        <v>774</v>
      </c>
      <c r="J75" s="1">
        <v>45132</v>
      </c>
      <c r="K75" t="s">
        <v>1274</v>
      </c>
      <c r="L75" t="s">
        <v>1528</v>
      </c>
      <c r="M75">
        <v>431.44</v>
      </c>
      <c r="N75">
        <v>5</v>
      </c>
      <c r="O75" t="s">
        <v>1548</v>
      </c>
      <c r="P75">
        <v>6</v>
      </c>
      <c r="Q75">
        <v>59</v>
      </c>
      <c r="R75" s="1">
        <v>45139</v>
      </c>
      <c r="S75" t="s">
        <v>1825</v>
      </c>
      <c r="T75">
        <f t="shared" si="11"/>
        <v>7</v>
      </c>
      <c r="U75">
        <f t="shared" si="12"/>
        <v>2157.1999999999998</v>
      </c>
      <c r="V75">
        <f t="shared" si="13"/>
        <v>2216.1999999999998</v>
      </c>
      <c r="W75">
        <f t="shared" si="14"/>
        <v>0.15</v>
      </c>
      <c r="X75">
        <f t="shared" si="15"/>
        <v>323.58</v>
      </c>
      <c r="Y75">
        <f t="shared" si="16"/>
        <v>1892.62</v>
      </c>
      <c r="Z75" t="str">
        <f t="shared" si="17"/>
        <v>Brian Kennedy</v>
      </c>
      <c r="AA75" s="1" t="str">
        <f t="shared" si="18"/>
        <v>Late</v>
      </c>
      <c r="AB75" t="str">
        <f t="shared" si="19"/>
        <v>Jul</v>
      </c>
      <c r="AC75" s="9">
        <f t="shared" si="20"/>
        <v>2023</v>
      </c>
      <c r="AD75" t="str">
        <f t="shared" si="21"/>
        <v>outlook.com</v>
      </c>
    </row>
    <row r="76" spans="1:30" x14ac:dyDescent="0.3">
      <c r="A76" t="s">
        <v>85</v>
      </c>
      <c r="B76" t="s">
        <v>175</v>
      </c>
      <c r="C76" t="s">
        <v>262</v>
      </c>
      <c r="D76">
        <v>69</v>
      </c>
      <c r="E76" t="s">
        <v>288</v>
      </c>
      <c r="F76" t="s">
        <v>291</v>
      </c>
      <c r="G76" t="s">
        <v>366</v>
      </c>
      <c r="H76" t="s">
        <v>466</v>
      </c>
      <c r="I76" t="s">
        <v>818</v>
      </c>
      <c r="J76" s="1">
        <v>45650</v>
      </c>
      <c r="K76" t="s">
        <v>1318</v>
      </c>
      <c r="L76" t="s">
        <v>1541</v>
      </c>
      <c r="M76">
        <v>133.62</v>
      </c>
      <c r="N76">
        <v>2</v>
      </c>
      <c r="O76" t="s">
        <v>1549</v>
      </c>
      <c r="P76">
        <v>4</v>
      </c>
      <c r="Q76">
        <v>50</v>
      </c>
      <c r="R76" s="1">
        <v>45651</v>
      </c>
      <c r="S76" t="s">
        <v>1869</v>
      </c>
      <c r="T76">
        <f t="shared" si="11"/>
        <v>1</v>
      </c>
      <c r="U76">
        <f t="shared" si="12"/>
        <v>267.24</v>
      </c>
      <c r="V76">
        <f t="shared" si="13"/>
        <v>317.24</v>
      </c>
      <c r="W76">
        <f t="shared" si="14"/>
        <v>0.1</v>
      </c>
      <c r="X76">
        <f t="shared" si="15"/>
        <v>26.724000000000004</v>
      </c>
      <c r="Y76">
        <f t="shared" si="16"/>
        <v>290.51600000000002</v>
      </c>
      <c r="Z76" t="str">
        <f t="shared" si="17"/>
        <v>Brian Kennedy</v>
      </c>
      <c r="AA76" s="1" t="str">
        <f t="shared" si="18"/>
        <v>Before Time</v>
      </c>
      <c r="AB76" t="str">
        <f t="shared" si="19"/>
        <v>Dec</v>
      </c>
      <c r="AC76" s="9">
        <f t="shared" si="20"/>
        <v>2024</v>
      </c>
      <c r="AD76" t="str">
        <f t="shared" si="21"/>
        <v>outlook.com</v>
      </c>
    </row>
    <row r="77" spans="1:30" x14ac:dyDescent="0.3">
      <c r="A77" t="s">
        <v>100</v>
      </c>
      <c r="B77" t="s">
        <v>188</v>
      </c>
      <c r="C77" t="s">
        <v>274</v>
      </c>
      <c r="D77">
        <v>64</v>
      </c>
      <c r="E77" t="s">
        <v>290</v>
      </c>
      <c r="F77" t="s">
        <v>291</v>
      </c>
      <c r="G77" t="s">
        <v>381</v>
      </c>
      <c r="H77" t="s">
        <v>481</v>
      </c>
      <c r="I77" t="s">
        <v>875</v>
      </c>
      <c r="J77" s="1">
        <v>45459</v>
      </c>
      <c r="K77" t="s">
        <v>1375</v>
      </c>
      <c r="L77" t="s">
        <v>1503</v>
      </c>
      <c r="M77">
        <v>363.64</v>
      </c>
      <c r="N77">
        <v>3</v>
      </c>
      <c r="O77" t="s">
        <v>1547</v>
      </c>
      <c r="P77">
        <v>7</v>
      </c>
      <c r="Q77">
        <v>41</v>
      </c>
      <c r="R77" s="1">
        <v>45461</v>
      </c>
      <c r="S77" t="s">
        <v>1926</v>
      </c>
      <c r="T77">
        <f t="shared" si="11"/>
        <v>2</v>
      </c>
      <c r="U77">
        <f t="shared" si="12"/>
        <v>1090.92</v>
      </c>
      <c r="V77">
        <f t="shared" si="13"/>
        <v>1090.92</v>
      </c>
      <c r="W77">
        <f t="shared" si="14"/>
        <v>0</v>
      </c>
      <c r="X77">
        <f t="shared" si="15"/>
        <v>0</v>
      </c>
      <c r="Y77">
        <f t="shared" si="16"/>
        <v>1090.92</v>
      </c>
      <c r="Z77" t="str">
        <f t="shared" si="17"/>
        <v>Teresa Harvey</v>
      </c>
      <c r="AA77" s="1" t="str">
        <f t="shared" si="18"/>
        <v>Before Time</v>
      </c>
      <c r="AB77" t="str">
        <f t="shared" si="19"/>
        <v>Jun</v>
      </c>
      <c r="AC77" s="9">
        <f t="shared" si="20"/>
        <v>2024</v>
      </c>
      <c r="AD77" t="str">
        <f t="shared" si="21"/>
        <v>gmail.com</v>
      </c>
    </row>
    <row r="78" spans="1:30" x14ac:dyDescent="0.3">
      <c r="A78" t="s">
        <v>19</v>
      </c>
      <c r="B78" t="s">
        <v>119</v>
      </c>
      <c r="C78" t="s">
        <v>154</v>
      </c>
      <c r="D78">
        <v>53</v>
      </c>
      <c r="E78" t="s">
        <v>289</v>
      </c>
      <c r="F78" t="s">
        <v>292</v>
      </c>
      <c r="G78" t="s">
        <v>300</v>
      </c>
      <c r="H78" t="s">
        <v>400</v>
      </c>
      <c r="I78" t="s">
        <v>575</v>
      </c>
      <c r="J78" s="1">
        <v>45041</v>
      </c>
      <c r="K78" t="s">
        <v>1075</v>
      </c>
      <c r="L78" t="s">
        <v>1529</v>
      </c>
      <c r="M78">
        <v>128.13999999999999</v>
      </c>
      <c r="N78">
        <v>1</v>
      </c>
      <c r="O78" t="s">
        <v>2047</v>
      </c>
      <c r="P78">
        <v>7</v>
      </c>
      <c r="Q78">
        <v>70</v>
      </c>
      <c r="R78" s="1">
        <v>45045</v>
      </c>
      <c r="S78" t="s">
        <v>1627</v>
      </c>
      <c r="T78">
        <f t="shared" si="11"/>
        <v>4</v>
      </c>
      <c r="U78">
        <f t="shared" si="12"/>
        <v>128.13999999999999</v>
      </c>
      <c r="V78">
        <f t="shared" si="13"/>
        <v>198.14</v>
      </c>
      <c r="W78">
        <f t="shared" si="14"/>
        <v>0.08</v>
      </c>
      <c r="X78">
        <f t="shared" si="15"/>
        <v>10.251199999999999</v>
      </c>
      <c r="Y78">
        <f t="shared" si="16"/>
        <v>187.88879999999997</v>
      </c>
      <c r="Z78" t="str">
        <f t="shared" si="17"/>
        <v>Anthony Thomas</v>
      </c>
      <c r="AA78" s="1" t="str">
        <f t="shared" si="18"/>
        <v>Before Time</v>
      </c>
      <c r="AB78" t="str">
        <f t="shared" si="19"/>
        <v>Apr</v>
      </c>
      <c r="AC78" s="9">
        <f t="shared" si="20"/>
        <v>2023</v>
      </c>
      <c r="AD78" t="str">
        <f t="shared" si="21"/>
        <v>rediffmail.com</v>
      </c>
    </row>
    <row r="79" spans="1:30" x14ac:dyDescent="0.3">
      <c r="A79" t="s">
        <v>57</v>
      </c>
      <c r="B79" t="s">
        <v>155</v>
      </c>
      <c r="C79" t="s">
        <v>238</v>
      </c>
      <c r="D79">
        <v>47</v>
      </c>
      <c r="E79" t="s">
        <v>289</v>
      </c>
      <c r="F79" t="s">
        <v>296</v>
      </c>
      <c r="G79" t="s">
        <v>338</v>
      </c>
      <c r="H79" t="s">
        <v>438</v>
      </c>
      <c r="I79" t="s">
        <v>576</v>
      </c>
      <c r="J79" s="1">
        <v>45683</v>
      </c>
      <c r="K79" t="s">
        <v>1076</v>
      </c>
      <c r="L79" t="s">
        <v>1535</v>
      </c>
      <c r="M79">
        <v>477.52</v>
      </c>
      <c r="N79">
        <v>2</v>
      </c>
      <c r="O79" t="s">
        <v>2047</v>
      </c>
      <c r="P79">
        <v>6</v>
      </c>
      <c r="Q79">
        <v>55</v>
      </c>
      <c r="R79" s="1">
        <v>45685</v>
      </c>
      <c r="S79" t="s">
        <v>1628</v>
      </c>
      <c r="T79">
        <f t="shared" si="11"/>
        <v>2</v>
      </c>
      <c r="U79">
        <f t="shared" si="12"/>
        <v>955.04</v>
      </c>
      <c r="V79">
        <f t="shared" si="13"/>
        <v>1010.04</v>
      </c>
      <c r="W79">
        <f t="shared" si="14"/>
        <v>0.08</v>
      </c>
      <c r="X79">
        <f t="shared" si="15"/>
        <v>76.403199999999998</v>
      </c>
      <c r="Y79">
        <f t="shared" si="16"/>
        <v>933.63679999999999</v>
      </c>
      <c r="Z79" t="str">
        <f t="shared" si="17"/>
        <v>Aaron Thompson</v>
      </c>
      <c r="AA79" s="1" t="str">
        <f t="shared" si="18"/>
        <v>Before Time</v>
      </c>
      <c r="AB79" t="str">
        <f t="shared" si="19"/>
        <v>Jan</v>
      </c>
      <c r="AC79" s="9">
        <f t="shared" si="20"/>
        <v>2025</v>
      </c>
      <c r="AD79" t="str">
        <f t="shared" si="21"/>
        <v>gmail.com</v>
      </c>
    </row>
    <row r="80" spans="1:30" x14ac:dyDescent="0.3">
      <c r="A80" t="s">
        <v>76</v>
      </c>
      <c r="B80" t="s">
        <v>142</v>
      </c>
      <c r="C80" t="s">
        <v>254</v>
      </c>
      <c r="D80">
        <v>35</v>
      </c>
      <c r="E80" t="s">
        <v>288</v>
      </c>
      <c r="F80" t="s">
        <v>291</v>
      </c>
      <c r="G80" t="s">
        <v>357</v>
      </c>
      <c r="H80" t="s">
        <v>457</v>
      </c>
      <c r="I80" t="s">
        <v>577</v>
      </c>
      <c r="J80" s="1">
        <v>45054</v>
      </c>
      <c r="K80" t="s">
        <v>1077</v>
      </c>
      <c r="L80" t="s">
        <v>1516</v>
      </c>
      <c r="M80">
        <v>126.19</v>
      </c>
      <c r="N80">
        <v>3</v>
      </c>
      <c r="O80" t="s">
        <v>1547</v>
      </c>
      <c r="P80">
        <v>5</v>
      </c>
      <c r="Q80">
        <v>40</v>
      </c>
      <c r="R80" s="1">
        <v>45058</v>
      </c>
      <c r="S80" t="s">
        <v>1629</v>
      </c>
      <c r="T80">
        <f t="shared" si="11"/>
        <v>4</v>
      </c>
      <c r="U80">
        <f t="shared" si="12"/>
        <v>378.57</v>
      </c>
      <c r="V80">
        <f t="shared" si="13"/>
        <v>378.57</v>
      </c>
      <c r="W80">
        <f t="shared" si="14"/>
        <v>0</v>
      </c>
      <c r="X80">
        <f t="shared" si="15"/>
        <v>0</v>
      </c>
      <c r="Y80">
        <f t="shared" si="16"/>
        <v>378.57</v>
      </c>
      <c r="Z80" t="str">
        <f t="shared" si="17"/>
        <v>Ashley Romero</v>
      </c>
      <c r="AA80" s="1" t="str">
        <f t="shared" si="18"/>
        <v>Before Time</v>
      </c>
      <c r="AB80" t="str">
        <f t="shared" si="19"/>
        <v>May</v>
      </c>
      <c r="AC80" s="9">
        <f t="shared" si="20"/>
        <v>2023</v>
      </c>
      <c r="AD80" t="str">
        <f t="shared" si="21"/>
        <v>yahoo.com</v>
      </c>
    </row>
    <row r="81" spans="1:30" x14ac:dyDescent="0.3">
      <c r="A81" t="s">
        <v>21</v>
      </c>
      <c r="B81" t="s">
        <v>121</v>
      </c>
      <c r="C81" t="s">
        <v>203</v>
      </c>
      <c r="D81">
        <v>28</v>
      </c>
      <c r="E81" t="s">
        <v>290</v>
      </c>
      <c r="F81" t="s">
        <v>294</v>
      </c>
      <c r="G81" t="s">
        <v>302</v>
      </c>
      <c r="H81" t="s">
        <v>402</v>
      </c>
      <c r="I81" t="s">
        <v>553</v>
      </c>
      <c r="J81" s="1">
        <v>45443</v>
      </c>
      <c r="K81" t="s">
        <v>1053</v>
      </c>
      <c r="L81" t="s">
        <v>1525</v>
      </c>
      <c r="M81">
        <v>481.48</v>
      </c>
      <c r="N81">
        <v>4</v>
      </c>
      <c r="O81" t="s">
        <v>1549</v>
      </c>
      <c r="P81">
        <v>1</v>
      </c>
      <c r="Q81">
        <v>36</v>
      </c>
      <c r="R81" s="1">
        <v>45447</v>
      </c>
      <c r="S81" t="s">
        <v>1605</v>
      </c>
      <c r="T81">
        <f t="shared" si="11"/>
        <v>4</v>
      </c>
      <c r="U81">
        <f t="shared" si="12"/>
        <v>1925.92</v>
      </c>
      <c r="V81">
        <f t="shared" si="13"/>
        <v>1961.92</v>
      </c>
      <c r="W81">
        <f t="shared" si="14"/>
        <v>0.1</v>
      </c>
      <c r="X81">
        <f t="shared" si="15"/>
        <v>192.59200000000001</v>
      </c>
      <c r="Y81">
        <f t="shared" si="16"/>
        <v>1769.328</v>
      </c>
      <c r="Z81" t="str">
        <f t="shared" si="17"/>
        <v>John Ramirez</v>
      </c>
      <c r="AA81" s="1" t="str">
        <f t="shared" si="18"/>
        <v>Late</v>
      </c>
      <c r="AB81" t="str">
        <f t="shared" si="19"/>
        <v>May</v>
      </c>
      <c r="AC81" s="9">
        <f t="shared" si="20"/>
        <v>2024</v>
      </c>
      <c r="AD81" t="str">
        <f t="shared" si="21"/>
        <v>outlook.com</v>
      </c>
    </row>
    <row r="82" spans="1:30" x14ac:dyDescent="0.3">
      <c r="A82" t="s">
        <v>66</v>
      </c>
      <c r="B82" t="s">
        <v>127</v>
      </c>
      <c r="C82" t="s">
        <v>247</v>
      </c>
      <c r="D82">
        <v>33</v>
      </c>
      <c r="E82" t="s">
        <v>288</v>
      </c>
      <c r="F82" t="s">
        <v>297</v>
      </c>
      <c r="G82" t="s">
        <v>347</v>
      </c>
      <c r="H82" t="s">
        <v>447</v>
      </c>
      <c r="I82" t="s">
        <v>579</v>
      </c>
      <c r="J82" s="1">
        <v>45675</v>
      </c>
      <c r="K82" t="s">
        <v>1079</v>
      </c>
      <c r="L82" t="s">
        <v>1497</v>
      </c>
      <c r="M82">
        <v>308.88</v>
      </c>
      <c r="N82">
        <v>3</v>
      </c>
      <c r="O82" t="s">
        <v>1548</v>
      </c>
      <c r="P82">
        <v>4</v>
      </c>
      <c r="Q82">
        <v>48</v>
      </c>
      <c r="R82" s="1">
        <v>45678</v>
      </c>
      <c r="S82" t="s">
        <v>1631</v>
      </c>
      <c r="T82">
        <f t="shared" si="11"/>
        <v>3</v>
      </c>
      <c r="U82">
        <f t="shared" si="12"/>
        <v>926.64</v>
      </c>
      <c r="V82">
        <f t="shared" si="13"/>
        <v>974.64</v>
      </c>
      <c r="W82">
        <f t="shared" si="14"/>
        <v>0.15</v>
      </c>
      <c r="X82">
        <f t="shared" si="15"/>
        <v>138.99599999999998</v>
      </c>
      <c r="Y82">
        <f t="shared" si="16"/>
        <v>835.64400000000001</v>
      </c>
      <c r="Z82" t="str">
        <f t="shared" si="17"/>
        <v>Debra Hayes</v>
      </c>
      <c r="AA82" s="1" t="str">
        <f t="shared" si="18"/>
        <v>Before Time</v>
      </c>
      <c r="AB82" t="str">
        <f t="shared" si="19"/>
        <v>Jan</v>
      </c>
      <c r="AC82" s="9">
        <f t="shared" si="20"/>
        <v>2025</v>
      </c>
      <c r="AD82" t="str">
        <f t="shared" si="21"/>
        <v>yahoo.com</v>
      </c>
    </row>
    <row r="83" spans="1:30" x14ac:dyDescent="0.3">
      <c r="A83" t="s">
        <v>38</v>
      </c>
      <c r="B83" t="s">
        <v>138</v>
      </c>
      <c r="C83" t="s">
        <v>219</v>
      </c>
      <c r="D83">
        <v>39</v>
      </c>
      <c r="E83" t="s">
        <v>289</v>
      </c>
      <c r="F83" t="s">
        <v>293</v>
      </c>
      <c r="G83" t="s">
        <v>319</v>
      </c>
      <c r="H83" t="s">
        <v>419</v>
      </c>
      <c r="I83" t="s">
        <v>580</v>
      </c>
      <c r="J83" s="1">
        <v>45525</v>
      </c>
      <c r="K83" t="s">
        <v>1080</v>
      </c>
      <c r="L83" t="s">
        <v>1536</v>
      </c>
      <c r="M83">
        <v>403.03</v>
      </c>
      <c r="N83">
        <v>1</v>
      </c>
      <c r="O83" t="s">
        <v>1550</v>
      </c>
      <c r="P83">
        <v>3</v>
      </c>
      <c r="Q83">
        <v>52</v>
      </c>
      <c r="R83" s="1">
        <v>45526</v>
      </c>
      <c r="S83" t="s">
        <v>1632</v>
      </c>
      <c r="T83">
        <f t="shared" si="11"/>
        <v>1</v>
      </c>
      <c r="U83">
        <f t="shared" si="12"/>
        <v>403.03</v>
      </c>
      <c r="V83">
        <f t="shared" si="13"/>
        <v>455.03</v>
      </c>
      <c r="W83">
        <f t="shared" si="14"/>
        <v>0.2</v>
      </c>
      <c r="X83">
        <f t="shared" si="15"/>
        <v>80.605999999999995</v>
      </c>
      <c r="Y83">
        <f t="shared" si="16"/>
        <v>374.42399999999998</v>
      </c>
      <c r="Z83" t="str">
        <f t="shared" si="17"/>
        <v>Christian Clayton</v>
      </c>
      <c r="AA83" s="1" t="str">
        <f t="shared" si="18"/>
        <v>Before Time</v>
      </c>
      <c r="AB83" t="str">
        <f t="shared" si="19"/>
        <v>Aug</v>
      </c>
      <c r="AC83" s="9">
        <f t="shared" si="20"/>
        <v>2024</v>
      </c>
      <c r="AD83" t="str">
        <f t="shared" si="21"/>
        <v>yahoo.com</v>
      </c>
    </row>
    <row r="84" spans="1:30" x14ac:dyDescent="0.3">
      <c r="A84" t="s">
        <v>77</v>
      </c>
      <c r="B84" t="s">
        <v>169</v>
      </c>
      <c r="C84" t="s">
        <v>255</v>
      </c>
      <c r="D84">
        <v>21</v>
      </c>
      <c r="E84" t="s">
        <v>288</v>
      </c>
      <c r="F84" t="s">
        <v>292</v>
      </c>
      <c r="G84" t="s">
        <v>358</v>
      </c>
      <c r="H84" t="s">
        <v>458</v>
      </c>
      <c r="I84" t="s">
        <v>581</v>
      </c>
      <c r="J84" s="1">
        <v>45041</v>
      </c>
      <c r="K84" t="s">
        <v>1081</v>
      </c>
      <c r="L84" t="s">
        <v>1501</v>
      </c>
      <c r="M84">
        <v>330.11</v>
      </c>
      <c r="N84">
        <v>2</v>
      </c>
      <c r="O84" t="s">
        <v>2047</v>
      </c>
      <c r="P84">
        <v>3</v>
      </c>
      <c r="Q84">
        <v>64</v>
      </c>
      <c r="R84" s="1">
        <v>45046</v>
      </c>
      <c r="S84" t="s">
        <v>1633</v>
      </c>
      <c r="T84">
        <f t="shared" si="11"/>
        <v>5</v>
      </c>
      <c r="U84">
        <f t="shared" si="12"/>
        <v>660.22</v>
      </c>
      <c r="V84">
        <f t="shared" si="13"/>
        <v>724.22</v>
      </c>
      <c r="W84">
        <f t="shared" si="14"/>
        <v>0.08</v>
      </c>
      <c r="X84">
        <f t="shared" si="15"/>
        <v>52.817600000000006</v>
      </c>
      <c r="Y84">
        <f t="shared" si="16"/>
        <v>671.40240000000006</v>
      </c>
      <c r="Z84" t="str">
        <f t="shared" si="17"/>
        <v>William Mann</v>
      </c>
      <c r="AA84" s="1" t="str">
        <f t="shared" si="18"/>
        <v>Late</v>
      </c>
      <c r="AB84" t="str">
        <f t="shared" si="19"/>
        <v>Apr</v>
      </c>
      <c r="AC84" s="9">
        <f t="shared" si="20"/>
        <v>2023</v>
      </c>
      <c r="AD84" t="str">
        <f t="shared" si="21"/>
        <v>yahoo.com</v>
      </c>
    </row>
    <row r="85" spans="1:30" x14ac:dyDescent="0.3">
      <c r="A85" t="s">
        <v>21</v>
      </c>
      <c r="B85" t="s">
        <v>121</v>
      </c>
      <c r="C85" t="s">
        <v>203</v>
      </c>
      <c r="D85">
        <v>28</v>
      </c>
      <c r="E85" t="s">
        <v>290</v>
      </c>
      <c r="F85" t="s">
        <v>294</v>
      </c>
      <c r="G85" t="s">
        <v>302</v>
      </c>
      <c r="H85" t="s">
        <v>402</v>
      </c>
      <c r="I85" t="s">
        <v>578</v>
      </c>
      <c r="J85" s="1">
        <v>45322</v>
      </c>
      <c r="K85" t="s">
        <v>1078</v>
      </c>
      <c r="L85" t="s">
        <v>1520</v>
      </c>
      <c r="M85">
        <v>62.42</v>
      </c>
      <c r="N85">
        <v>1</v>
      </c>
      <c r="O85" t="s">
        <v>1550</v>
      </c>
      <c r="P85">
        <v>6</v>
      </c>
      <c r="Q85">
        <v>53</v>
      </c>
      <c r="R85" s="1">
        <v>45329</v>
      </c>
      <c r="S85" t="s">
        <v>1630</v>
      </c>
      <c r="T85">
        <f t="shared" si="11"/>
        <v>7</v>
      </c>
      <c r="U85">
        <f t="shared" si="12"/>
        <v>62.42</v>
      </c>
      <c r="V85">
        <f t="shared" si="13"/>
        <v>115.42</v>
      </c>
      <c r="W85">
        <f t="shared" si="14"/>
        <v>0.2</v>
      </c>
      <c r="X85">
        <f t="shared" si="15"/>
        <v>12.484000000000002</v>
      </c>
      <c r="Y85">
        <f t="shared" si="16"/>
        <v>102.93600000000001</v>
      </c>
      <c r="Z85" t="str">
        <f t="shared" si="17"/>
        <v>John Ramirez</v>
      </c>
      <c r="AA85" s="1" t="str">
        <f t="shared" si="18"/>
        <v>Late</v>
      </c>
      <c r="AB85" t="str">
        <f t="shared" si="19"/>
        <v>Jan</v>
      </c>
      <c r="AC85" s="9">
        <f t="shared" si="20"/>
        <v>2024</v>
      </c>
      <c r="AD85" t="str">
        <f t="shared" si="21"/>
        <v>outlook.com</v>
      </c>
    </row>
    <row r="86" spans="1:30" x14ac:dyDescent="0.3">
      <c r="A86" t="s">
        <v>78</v>
      </c>
      <c r="B86" t="s">
        <v>170</v>
      </c>
      <c r="C86" t="s">
        <v>240</v>
      </c>
      <c r="D86">
        <v>18</v>
      </c>
      <c r="E86" t="s">
        <v>289</v>
      </c>
      <c r="F86" t="s">
        <v>292</v>
      </c>
      <c r="G86" t="s">
        <v>359</v>
      </c>
      <c r="H86" t="s">
        <v>459</v>
      </c>
      <c r="I86" t="s">
        <v>583</v>
      </c>
      <c r="J86" s="1">
        <v>45625</v>
      </c>
      <c r="K86" t="s">
        <v>1083</v>
      </c>
      <c r="L86" t="s">
        <v>1501</v>
      </c>
      <c r="M86">
        <v>330.11</v>
      </c>
      <c r="N86">
        <v>1</v>
      </c>
      <c r="O86" t="s">
        <v>1550</v>
      </c>
      <c r="P86">
        <v>4</v>
      </c>
      <c r="Q86">
        <v>67</v>
      </c>
      <c r="R86" s="1">
        <v>45627</v>
      </c>
      <c r="S86" t="s">
        <v>1635</v>
      </c>
      <c r="T86">
        <f t="shared" si="11"/>
        <v>2</v>
      </c>
      <c r="U86">
        <f t="shared" si="12"/>
        <v>330.11</v>
      </c>
      <c r="V86">
        <f t="shared" si="13"/>
        <v>397.11</v>
      </c>
      <c r="W86">
        <f t="shared" si="14"/>
        <v>0.2</v>
      </c>
      <c r="X86">
        <f t="shared" si="15"/>
        <v>66.022000000000006</v>
      </c>
      <c r="Y86">
        <f t="shared" si="16"/>
        <v>331.08800000000002</v>
      </c>
      <c r="Z86" t="str">
        <f t="shared" si="17"/>
        <v>Kelli Smith</v>
      </c>
      <c r="AA86" s="1" t="str">
        <f t="shared" si="18"/>
        <v>Before Time</v>
      </c>
      <c r="AB86" t="str">
        <f t="shared" si="19"/>
        <v>Nov</v>
      </c>
      <c r="AC86" s="9">
        <f t="shared" si="20"/>
        <v>2024</v>
      </c>
      <c r="AD86" t="str">
        <f t="shared" si="21"/>
        <v>rediffmail.com</v>
      </c>
    </row>
    <row r="87" spans="1:30" x14ac:dyDescent="0.3">
      <c r="A87" t="s">
        <v>48</v>
      </c>
      <c r="B87" t="s">
        <v>146</v>
      </c>
      <c r="C87" t="s">
        <v>229</v>
      </c>
      <c r="D87">
        <v>48</v>
      </c>
      <c r="E87" t="s">
        <v>289</v>
      </c>
      <c r="F87" t="s">
        <v>296</v>
      </c>
      <c r="G87" t="s">
        <v>329</v>
      </c>
      <c r="H87" t="s">
        <v>429</v>
      </c>
      <c r="I87" t="s">
        <v>584</v>
      </c>
      <c r="J87" s="1">
        <v>45505</v>
      </c>
      <c r="K87" t="s">
        <v>1084</v>
      </c>
      <c r="L87" t="s">
        <v>1505</v>
      </c>
      <c r="M87">
        <v>48.45</v>
      </c>
      <c r="N87">
        <v>1</v>
      </c>
      <c r="O87" t="s">
        <v>1548</v>
      </c>
      <c r="P87">
        <v>6</v>
      </c>
      <c r="Q87">
        <v>66</v>
      </c>
      <c r="R87" s="1">
        <v>45512</v>
      </c>
      <c r="S87" t="s">
        <v>1636</v>
      </c>
      <c r="T87">
        <f t="shared" si="11"/>
        <v>7</v>
      </c>
      <c r="U87">
        <f t="shared" si="12"/>
        <v>48.45</v>
      </c>
      <c r="V87">
        <f t="shared" si="13"/>
        <v>114.45</v>
      </c>
      <c r="W87">
        <f t="shared" si="14"/>
        <v>0.15</v>
      </c>
      <c r="X87">
        <f t="shared" si="15"/>
        <v>7.2675000000000001</v>
      </c>
      <c r="Y87">
        <f t="shared" si="16"/>
        <v>107.1825</v>
      </c>
      <c r="Z87" t="str">
        <f t="shared" si="17"/>
        <v>Heather Schneider</v>
      </c>
      <c r="AA87" s="1" t="str">
        <f t="shared" si="18"/>
        <v>Late</v>
      </c>
      <c r="AB87" t="str">
        <f t="shared" si="19"/>
        <v>Aug</v>
      </c>
      <c r="AC87" s="9">
        <f t="shared" si="20"/>
        <v>2024</v>
      </c>
      <c r="AD87" t="str">
        <f t="shared" si="21"/>
        <v>outlook.com</v>
      </c>
    </row>
    <row r="88" spans="1:30" x14ac:dyDescent="0.3">
      <c r="A88" t="s">
        <v>69</v>
      </c>
      <c r="B88" t="s">
        <v>163</v>
      </c>
      <c r="C88" t="s">
        <v>238</v>
      </c>
      <c r="D88">
        <v>57</v>
      </c>
      <c r="E88" t="s">
        <v>289</v>
      </c>
      <c r="F88" t="s">
        <v>298</v>
      </c>
      <c r="G88" t="s">
        <v>350</v>
      </c>
      <c r="H88" t="s">
        <v>450</v>
      </c>
      <c r="I88" t="s">
        <v>585</v>
      </c>
      <c r="J88" s="1">
        <v>45252</v>
      </c>
      <c r="K88" t="s">
        <v>1085</v>
      </c>
      <c r="L88" t="s">
        <v>1526</v>
      </c>
      <c r="M88">
        <v>405</v>
      </c>
      <c r="N88">
        <v>2</v>
      </c>
      <c r="O88" t="s">
        <v>1547</v>
      </c>
      <c r="P88">
        <v>4</v>
      </c>
      <c r="Q88">
        <v>70</v>
      </c>
      <c r="R88" s="1">
        <v>45257</v>
      </c>
      <c r="S88" t="s">
        <v>1637</v>
      </c>
      <c r="T88">
        <f t="shared" si="11"/>
        <v>5</v>
      </c>
      <c r="U88">
        <f t="shared" si="12"/>
        <v>810</v>
      </c>
      <c r="V88">
        <f t="shared" si="13"/>
        <v>810</v>
      </c>
      <c r="W88">
        <f t="shared" si="14"/>
        <v>0</v>
      </c>
      <c r="X88">
        <f t="shared" si="15"/>
        <v>0</v>
      </c>
      <c r="Y88">
        <f t="shared" si="16"/>
        <v>810</v>
      </c>
      <c r="Z88" t="str">
        <f t="shared" si="17"/>
        <v>Sharon Thompson</v>
      </c>
      <c r="AA88" s="1" t="str">
        <f t="shared" si="18"/>
        <v>Late</v>
      </c>
      <c r="AB88" t="str">
        <f t="shared" si="19"/>
        <v>Nov</v>
      </c>
      <c r="AC88" s="9">
        <f t="shared" si="20"/>
        <v>2023</v>
      </c>
      <c r="AD88" t="str">
        <f t="shared" si="21"/>
        <v>yahoo.com</v>
      </c>
    </row>
    <row r="89" spans="1:30" x14ac:dyDescent="0.3">
      <c r="A89" t="s">
        <v>69</v>
      </c>
      <c r="B89" t="s">
        <v>163</v>
      </c>
      <c r="C89" t="s">
        <v>238</v>
      </c>
      <c r="D89">
        <v>57</v>
      </c>
      <c r="E89" t="s">
        <v>289</v>
      </c>
      <c r="F89" t="s">
        <v>298</v>
      </c>
      <c r="G89" t="s">
        <v>350</v>
      </c>
      <c r="H89" t="s">
        <v>450</v>
      </c>
      <c r="I89" t="s">
        <v>586</v>
      </c>
      <c r="J89" s="1">
        <v>45595</v>
      </c>
      <c r="K89" t="s">
        <v>1086</v>
      </c>
      <c r="L89" t="s">
        <v>1518</v>
      </c>
      <c r="M89">
        <v>496.59</v>
      </c>
      <c r="N89">
        <v>2</v>
      </c>
      <c r="O89" t="s">
        <v>1549</v>
      </c>
      <c r="P89">
        <v>1</v>
      </c>
      <c r="Q89">
        <v>46</v>
      </c>
      <c r="R89" s="1">
        <v>45598</v>
      </c>
      <c r="S89" t="s">
        <v>1638</v>
      </c>
      <c r="T89">
        <f t="shared" si="11"/>
        <v>3</v>
      </c>
      <c r="U89">
        <f t="shared" si="12"/>
        <v>993.18</v>
      </c>
      <c r="V89">
        <f t="shared" si="13"/>
        <v>1039.1799999999998</v>
      </c>
      <c r="W89">
        <f t="shared" si="14"/>
        <v>0.1</v>
      </c>
      <c r="X89">
        <f t="shared" si="15"/>
        <v>99.317999999999998</v>
      </c>
      <c r="Y89">
        <f t="shared" si="16"/>
        <v>939.86199999999985</v>
      </c>
      <c r="Z89" t="str">
        <f t="shared" si="17"/>
        <v>Sharon Thompson</v>
      </c>
      <c r="AA89" s="1" t="str">
        <f t="shared" si="18"/>
        <v>Late</v>
      </c>
      <c r="AB89" t="str">
        <f t="shared" si="19"/>
        <v>Oct</v>
      </c>
      <c r="AC89" s="9">
        <f t="shared" si="20"/>
        <v>2024</v>
      </c>
      <c r="AD89" t="str">
        <f t="shared" si="21"/>
        <v>yahoo.com</v>
      </c>
    </row>
    <row r="90" spans="1:30" x14ac:dyDescent="0.3">
      <c r="A90" t="s">
        <v>26</v>
      </c>
      <c r="B90" t="s">
        <v>126</v>
      </c>
      <c r="C90" t="s">
        <v>208</v>
      </c>
      <c r="D90">
        <v>39</v>
      </c>
      <c r="E90" t="s">
        <v>288</v>
      </c>
      <c r="F90" t="s">
        <v>291</v>
      </c>
      <c r="G90" t="s">
        <v>307</v>
      </c>
      <c r="H90" t="s">
        <v>407</v>
      </c>
      <c r="I90" t="s">
        <v>587</v>
      </c>
      <c r="J90" s="1">
        <v>45227</v>
      </c>
      <c r="K90" t="s">
        <v>1087</v>
      </c>
      <c r="L90" t="s">
        <v>1505</v>
      </c>
      <c r="M90">
        <v>48.45</v>
      </c>
      <c r="N90">
        <v>1</v>
      </c>
      <c r="O90" t="s">
        <v>1550</v>
      </c>
      <c r="P90">
        <v>4</v>
      </c>
      <c r="Q90">
        <v>66</v>
      </c>
      <c r="R90" s="1">
        <v>45228</v>
      </c>
      <c r="S90" t="s">
        <v>1639</v>
      </c>
      <c r="T90">
        <f t="shared" si="11"/>
        <v>1</v>
      </c>
      <c r="U90">
        <f t="shared" si="12"/>
        <v>48.45</v>
      </c>
      <c r="V90">
        <f t="shared" si="13"/>
        <v>114.45</v>
      </c>
      <c r="W90">
        <f t="shared" si="14"/>
        <v>0.2</v>
      </c>
      <c r="X90">
        <f t="shared" si="15"/>
        <v>9.6900000000000013</v>
      </c>
      <c r="Y90">
        <f t="shared" si="16"/>
        <v>104.76</v>
      </c>
      <c r="Z90" t="str">
        <f t="shared" si="17"/>
        <v>Marcus Valenzuela</v>
      </c>
      <c r="AA90" s="1" t="str">
        <f t="shared" si="18"/>
        <v>Before Time</v>
      </c>
      <c r="AB90" t="str">
        <f t="shared" si="19"/>
        <v>Oct</v>
      </c>
      <c r="AC90" s="9">
        <f t="shared" si="20"/>
        <v>2023</v>
      </c>
      <c r="AD90" t="str">
        <f t="shared" si="21"/>
        <v>yahoo.com</v>
      </c>
    </row>
    <row r="91" spans="1:30" x14ac:dyDescent="0.3">
      <c r="A91" t="s">
        <v>79</v>
      </c>
      <c r="B91" t="s">
        <v>129</v>
      </c>
      <c r="C91" t="s">
        <v>256</v>
      </c>
      <c r="D91">
        <v>47</v>
      </c>
      <c r="E91" t="s">
        <v>290</v>
      </c>
      <c r="F91" t="s">
        <v>295</v>
      </c>
      <c r="G91" t="s">
        <v>360</v>
      </c>
      <c r="H91" t="s">
        <v>460</v>
      </c>
      <c r="I91" t="s">
        <v>588</v>
      </c>
      <c r="J91" s="1">
        <v>45076</v>
      </c>
      <c r="K91" t="s">
        <v>1088</v>
      </c>
      <c r="L91" t="s">
        <v>1528</v>
      </c>
      <c r="M91">
        <v>431.44</v>
      </c>
      <c r="N91">
        <v>1</v>
      </c>
      <c r="O91" t="s">
        <v>1547</v>
      </c>
      <c r="P91">
        <v>7</v>
      </c>
      <c r="Q91">
        <v>35</v>
      </c>
      <c r="R91" s="1">
        <v>45080</v>
      </c>
      <c r="S91" t="s">
        <v>1640</v>
      </c>
      <c r="T91">
        <f t="shared" si="11"/>
        <v>4</v>
      </c>
      <c r="U91">
        <f t="shared" si="12"/>
        <v>431.44</v>
      </c>
      <c r="V91">
        <f t="shared" si="13"/>
        <v>431.44</v>
      </c>
      <c r="W91">
        <f t="shared" si="14"/>
        <v>0</v>
      </c>
      <c r="X91">
        <f t="shared" si="15"/>
        <v>0</v>
      </c>
      <c r="Y91">
        <f t="shared" si="16"/>
        <v>431.44</v>
      </c>
      <c r="Z91" t="str">
        <f t="shared" si="17"/>
        <v>Joseph Gaines</v>
      </c>
      <c r="AA91" s="1" t="str">
        <f t="shared" si="18"/>
        <v>Before Time</v>
      </c>
      <c r="AB91" t="str">
        <f t="shared" si="19"/>
        <v>May</v>
      </c>
      <c r="AC91" s="9">
        <f t="shared" si="20"/>
        <v>2023</v>
      </c>
      <c r="AD91" t="str">
        <f t="shared" si="21"/>
        <v>outlook.com</v>
      </c>
    </row>
    <row r="92" spans="1:30" x14ac:dyDescent="0.3">
      <c r="A92" t="s">
        <v>32</v>
      </c>
      <c r="B92" t="s">
        <v>132</v>
      </c>
      <c r="C92" t="s">
        <v>214</v>
      </c>
      <c r="D92">
        <v>24</v>
      </c>
      <c r="E92" t="s">
        <v>288</v>
      </c>
      <c r="F92" t="s">
        <v>293</v>
      </c>
      <c r="G92" t="s">
        <v>313</v>
      </c>
      <c r="H92" t="s">
        <v>413</v>
      </c>
      <c r="I92" t="s">
        <v>589</v>
      </c>
      <c r="J92" s="1">
        <v>45555</v>
      </c>
      <c r="K92" t="s">
        <v>1089</v>
      </c>
      <c r="L92" t="s">
        <v>1531</v>
      </c>
      <c r="M92">
        <v>286.07</v>
      </c>
      <c r="N92">
        <v>5</v>
      </c>
      <c r="O92" t="s">
        <v>1548</v>
      </c>
      <c r="P92">
        <v>5</v>
      </c>
      <c r="Q92">
        <v>65</v>
      </c>
      <c r="R92" s="1">
        <v>45558</v>
      </c>
      <c r="S92" t="s">
        <v>1641</v>
      </c>
      <c r="T92">
        <f t="shared" si="11"/>
        <v>3</v>
      </c>
      <c r="U92">
        <f t="shared" si="12"/>
        <v>1430.35</v>
      </c>
      <c r="V92">
        <f t="shared" si="13"/>
        <v>1495.35</v>
      </c>
      <c r="W92">
        <f t="shared" si="14"/>
        <v>0.15</v>
      </c>
      <c r="X92">
        <f t="shared" si="15"/>
        <v>214.55249999999998</v>
      </c>
      <c r="Y92">
        <f t="shared" si="16"/>
        <v>1280.7974999999999</v>
      </c>
      <c r="Z92" t="str">
        <f t="shared" si="17"/>
        <v>Joshua Campbell</v>
      </c>
      <c r="AA92" s="1" t="str">
        <f t="shared" si="18"/>
        <v>Before Time</v>
      </c>
      <c r="AB92" t="str">
        <f t="shared" si="19"/>
        <v>Sep</v>
      </c>
      <c r="AC92" s="9">
        <f t="shared" si="20"/>
        <v>2024</v>
      </c>
      <c r="AD92" t="str">
        <f t="shared" si="21"/>
        <v>gmail.com</v>
      </c>
    </row>
    <row r="93" spans="1:30" x14ac:dyDescent="0.3">
      <c r="A93" t="s">
        <v>21</v>
      </c>
      <c r="B93" t="s">
        <v>121</v>
      </c>
      <c r="C93" t="s">
        <v>203</v>
      </c>
      <c r="D93">
        <v>28</v>
      </c>
      <c r="E93" t="s">
        <v>290</v>
      </c>
      <c r="F93" t="s">
        <v>294</v>
      </c>
      <c r="G93" t="s">
        <v>302</v>
      </c>
      <c r="H93" t="s">
        <v>402</v>
      </c>
      <c r="I93" t="s">
        <v>590</v>
      </c>
      <c r="J93" s="1">
        <v>45495</v>
      </c>
      <c r="K93" t="s">
        <v>1090</v>
      </c>
      <c r="L93" t="s">
        <v>1516</v>
      </c>
      <c r="M93">
        <v>126.19</v>
      </c>
      <c r="N93">
        <v>2</v>
      </c>
      <c r="O93" t="s">
        <v>2047</v>
      </c>
      <c r="P93">
        <v>7</v>
      </c>
      <c r="Q93">
        <v>48</v>
      </c>
      <c r="R93" s="1">
        <v>45496</v>
      </c>
      <c r="S93" t="s">
        <v>1642</v>
      </c>
      <c r="T93">
        <f t="shared" si="11"/>
        <v>1</v>
      </c>
      <c r="U93">
        <f t="shared" si="12"/>
        <v>252.38</v>
      </c>
      <c r="V93">
        <f t="shared" si="13"/>
        <v>300.38</v>
      </c>
      <c r="W93">
        <f t="shared" si="14"/>
        <v>0.08</v>
      </c>
      <c r="X93">
        <f t="shared" si="15"/>
        <v>20.1904</v>
      </c>
      <c r="Y93">
        <f t="shared" si="16"/>
        <v>280.18959999999998</v>
      </c>
      <c r="Z93" t="str">
        <f t="shared" si="17"/>
        <v>John Ramirez</v>
      </c>
      <c r="AA93" s="1" t="str">
        <f t="shared" si="18"/>
        <v>Before Time</v>
      </c>
      <c r="AB93" t="str">
        <f t="shared" si="19"/>
        <v>Jul</v>
      </c>
      <c r="AC93" s="9">
        <f t="shared" si="20"/>
        <v>2024</v>
      </c>
      <c r="AD93" t="str">
        <f t="shared" si="21"/>
        <v>outlook.com</v>
      </c>
    </row>
    <row r="94" spans="1:30" x14ac:dyDescent="0.3">
      <c r="A94" t="s">
        <v>46</v>
      </c>
      <c r="B94" t="s">
        <v>144</v>
      </c>
      <c r="C94" t="s">
        <v>227</v>
      </c>
      <c r="D94">
        <v>44</v>
      </c>
      <c r="E94" t="s">
        <v>288</v>
      </c>
      <c r="F94" t="s">
        <v>298</v>
      </c>
      <c r="G94" t="s">
        <v>327</v>
      </c>
      <c r="H94" t="s">
        <v>427</v>
      </c>
      <c r="I94" t="s">
        <v>591</v>
      </c>
      <c r="J94" s="1">
        <v>45307</v>
      </c>
      <c r="K94" t="s">
        <v>1091</v>
      </c>
      <c r="L94" t="s">
        <v>1537</v>
      </c>
      <c r="M94">
        <v>445.81</v>
      </c>
      <c r="N94">
        <v>5</v>
      </c>
      <c r="O94" t="s">
        <v>1548</v>
      </c>
      <c r="P94">
        <v>1</v>
      </c>
      <c r="Q94">
        <v>56</v>
      </c>
      <c r="R94" s="1">
        <v>45313</v>
      </c>
      <c r="S94" t="s">
        <v>1643</v>
      </c>
      <c r="T94">
        <f t="shared" si="11"/>
        <v>6</v>
      </c>
      <c r="U94">
        <f t="shared" si="12"/>
        <v>2229.0500000000002</v>
      </c>
      <c r="V94">
        <f t="shared" si="13"/>
        <v>2285.0500000000002</v>
      </c>
      <c r="W94">
        <f t="shared" si="14"/>
        <v>0.15</v>
      </c>
      <c r="X94">
        <f t="shared" si="15"/>
        <v>334.35750000000002</v>
      </c>
      <c r="Y94">
        <f t="shared" si="16"/>
        <v>1950.6925000000001</v>
      </c>
      <c r="Z94" t="str">
        <f t="shared" si="17"/>
        <v>Lauren Long</v>
      </c>
      <c r="AA94" s="1" t="str">
        <f t="shared" si="18"/>
        <v>Late</v>
      </c>
      <c r="AB94" t="str">
        <f t="shared" si="19"/>
        <v>Jan</v>
      </c>
      <c r="AC94" s="9">
        <f t="shared" si="20"/>
        <v>2024</v>
      </c>
      <c r="AD94" t="str">
        <f t="shared" si="21"/>
        <v>gmail.com</v>
      </c>
    </row>
    <row r="95" spans="1:30" x14ac:dyDescent="0.3">
      <c r="A95" t="s">
        <v>80</v>
      </c>
      <c r="B95" t="s">
        <v>131</v>
      </c>
      <c r="C95" t="s">
        <v>257</v>
      </c>
      <c r="D95">
        <v>44</v>
      </c>
      <c r="E95" t="s">
        <v>290</v>
      </c>
      <c r="F95" t="s">
        <v>296</v>
      </c>
      <c r="G95" t="s">
        <v>361</v>
      </c>
      <c r="H95" t="s">
        <v>461</v>
      </c>
      <c r="I95" t="s">
        <v>592</v>
      </c>
      <c r="J95" s="1">
        <v>45625</v>
      </c>
      <c r="K95" t="s">
        <v>1092</v>
      </c>
      <c r="L95" t="s">
        <v>1530</v>
      </c>
      <c r="M95">
        <v>369.03</v>
      </c>
      <c r="N95">
        <v>4</v>
      </c>
      <c r="O95" t="s">
        <v>1550</v>
      </c>
      <c r="P95">
        <v>4</v>
      </c>
      <c r="Q95">
        <v>56</v>
      </c>
      <c r="R95" s="1">
        <v>45630</v>
      </c>
      <c r="S95" t="s">
        <v>1644</v>
      </c>
      <c r="T95">
        <f t="shared" si="11"/>
        <v>5</v>
      </c>
      <c r="U95">
        <f t="shared" si="12"/>
        <v>1476.12</v>
      </c>
      <c r="V95">
        <f t="shared" si="13"/>
        <v>1532.12</v>
      </c>
      <c r="W95">
        <f t="shared" si="14"/>
        <v>0.2</v>
      </c>
      <c r="X95">
        <f t="shared" si="15"/>
        <v>295.22399999999999</v>
      </c>
      <c r="Y95">
        <f t="shared" si="16"/>
        <v>1236.896</v>
      </c>
      <c r="Z95" t="str">
        <f t="shared" si="17"/>
        <v>Amy Ellis</v>
      </c>
      <c r="AA95" s="1" t="str">
        <f t="shared" si="18"/>
        <v>Late</v>
      </c>
      <c r="AB95" t="str">
        <f t="shared" si="19"/>
        <v>Nov</v>
      </c>
      <c r="AC95" s="9">
        <f t="shared" si="20"/>
        <v>2024</v>
      </c>
      <c r="AD95" t="str">
        <f t="shared" si="21"/>
        <v>gmail.com</v>
      </c>
    </row>
    <row r="96" spans="1:30" x14ac:dyDescent="0.3">
      <c r="A96" t="s">
        <v>81</v>
      </c>
      <c r="B96" t="s">
        <v>171</v>
      </c>
      <c r="C96" t="s">
        <v>258</v>
      </c>
      <c r="D96">
        <v>45</v>
      </c>
      <c r="E96" t="s">
        <v>290</v>
      </c>
      <c r="F96" t="s">
        <v>296</v>
      </c>
      <c r="G96" t="s">
        <v>362</v>
      </c>
      <c r="H96" t="s">
        <v>462</v>
      </c>
      <c r="I96" t="s">
        <v>593</v>
      </c>
      <c r="J96" s="1">
        <v>45504</v>
      </c>
      <c r="K96" t="s">
        <v>1093</v>
      </c>
      <c r="L96" t="s">
        <v>1538</v>
      </c>
      <c r="M96">
        <v>433.62</v>
      </c>
      <c r="N96">
        <v>2</v>
      </c>
      <c r="O96" t="s">
        <v>1550</v>
      </c>
      <c r="P96">
        <v>1</v>
      </c>
      <c r="Q96">
        <v>41</v>
      </c>
      <c r="R96" s="1">
        <v>45510</v>
      </c>
      <c r="S96" t="s">
        <v>1645</v>
      </c>
      <c r="T96">
        <f t="shared" si="11"/>
        <v>6</v>
      </c>
      <c r="U96">
        <f t="shared" si="12"/>
        <v>867.24</v>
      </c>
      <c r="V96">
        <f t="shared" si="13"/>
        <v>908.24</v>
      </c>
      <c r="W96">
        <f t="shared" si="14"/>
        <v>0.2</v>
      </c>
      <c r="X96">
        <f t="shared" si="15"/>
        <v>173.44800000000001</v>
      </c>
      <c r="Y96">
        <f t="shared" si="16"/>
        <v>734.79200000000003</v>
      </c>
      <c r="Z96" t="str">
        <f t="shared" si="17"/>
        <v>Beth Mason</v>
      </c>
      <c r="AA96" s="1" t="str">
        <f t="shared" si="18"/>
        <v>Late</v>
      </c>
      <c r="AB96" t="str">
        <f t="shared" si="19"/>
        <v>Jul</v>
      </c>
      <c r="AC96" s="9">
        <f t="shared" si="20"/>
        <v>2024</v>
      </c>
      <c r="AD96" t="str">
        <f t="shared" si="21"/>
        <v>outlook.com</v>
      </c>
    </row>
    <row r="97" spans="1:30" x14ac:dyDescent="0.3">
      <c r="A97" t="s">
        <v>70</v>
      </c>
      <c r="B97" t="s">
        <v>164</v>
      </c>
      <c r="C97" t="s">
        <v>248</v>
      </c>
      <c r="D97">
        <v>64</v>
      </c>
      <c r="E97" t="s">
        <v>288</v>
      </c>
      <c r="F97" t="s">
        <v>291</v>
      </c>
      <c r="G97" t="s">
        <v>351</v>
      </c>
      <c r="H97" t="s">
        <v>451</v>
      </c>
      <c r="I97" t="s">
        <v>594</v>
      </c>
      <c r="J97" s="1">
        <v>45488</v>
      </c>
      <c r="K97" t="s">
        <v>1094</v>
      </c>
      <c r="L97" t="s">
        <v>1539</v>
      </c>
      <c r="M97">
        <v>235.63</v>
      </c>
      <c r="N97">
        <v>4</v>
      </c>
      <c r="O97" t="s">
        <v>1550</v>
      </c>
      <c r="P97">
        <v>2</v>
      </c>
      <c r="Q97">
        <v>60</v>
      </c>
      <c r="R97" s="1">
        <v>45495</v>
      </c>
      <c r="S97" t="s">
        <v>1646</v>
      </c>
      <c r="T97">
        <f t="shared" si="11"/>
        <v>7</v>
      </c>
      <c r="U97">
        <f t="shared" si="12"/>
        <v>942.52</v>
      </c>
      <c r="V97">
        <f t="shared" si="13"/>
        <v>1002.52</v>
      </c>
      <c r="W97">
        <f t="shared" si="14"/>
        <v>0.2</v>
      </c>
      <c r="X97">
        <f t="shared" si="15"/>
        <v>188.50400000000002</v>
      </c>
      <c r="Y97">
        <f t="shared" si="16"/>
        <v>814.01599999999996</v>
      </c>
      <c r="Z97" t="str">
        <f t="shared" si="17"/>
        <v>Sarah Butler</v>
      </c>
      <c r="AA97" s="1" t="str">
        <f t="shared" si="18"/>
        <v>Late</v>
      </c>
      <c r="AB97" t="str">
        <f t="shared" si="19"/>
        <v>Jul</v>
      </c>
      <c r="AC97" s="9">
        <f t="shared" si="20"/>
        <v>2024</v>
      </c>
      <c r="AD97" t="str">
        <f t="shared" si="21"/>
        <v>rediffmail.com</v>
      </c>
    </row>
    <row r="98" spans="1:30" x14ac:dyDescent="0.3">
      <c r="A98" t="s">
        <v>40</v>
      </c>
      <c r="B98" t="s">
        <v>121</v>
      </c>
      <c r="C98" t="s">
        <v>221</v>
      </c>
      <c r="D98">
        <v>64</v>
      </c>
      <c r="E98" t="s">
        <v>289</v>
      </c>
      <c r="F98" t="s">
        <v>292</v>
      </c>
      <c r="G98" t="s">
        <v>321</v>
      </c>
      <c r="H98" t="s">
        <v>421</v>
      </c>
      <c r="I98" t="s">
        <v>595</v>
      </c>
      <c r="J98" s="1">
        <v>45118</v>
      </c>
      <c r="K98" t="s">
        <v>1095</v>
      </c>
      <c r="L98" t="s">
        <v>1522</v>
      </c>
      <c r="M98">
        <v>158.53</v>
      </c>
      <c r="N98">
        <v>5</v>
      </c>
      <c r="O98" t="s">
        <v>1550</v>
      </c>
      <c r="P98">
        <v>1</v>
      </c>
      <c r="Q98">
        <v>57</v>
      </c>
      <c r="R98" s="1">
        <v>45125</v>
      </c>
      <c r="S98" t="s">
        <v>1647</v>
      </c>
      <c r="T98">
        <f t="shared" si="11"/>
        <v>7</v>
      </c>
      <c r="U98">
        <f t="shared" si="12"/>
        <v>792.65</v>
      </c>
      <c r="V98">
        <f t="shared" si="13"/>
        <v>849.65</v>
      </c>
      <c r="W98">
        <f t="shared" si="14"/>
        <v>0.2</v>
      </c>
      <c r="X98">
        <f t="shared" si="15"/>
        <v>158.53</v>
      </c>
      <c r="Y98">
        <f t="shared" si="16"/>
        <v>691.12</v>
      </c>
      <c r="Z98" t="str">
        <f t="shared" si="17"/>
        <v>John Herrera</v>
      </c>
      <c r="AA98" s="1" t="str">
        <f t="shared" si="18"/>
        <v>Late</v>
      </c>
      <c r="AB98" t="str">
        <f t="shared" si="19"/>
        <v>Jul</v>
      </c>
      <c r="AC98" s="9">
        <f t="shared" si="20"/>
        <v>2023</v>
      </c>
      <c r="AD98" t="str">
        <f t="shared" si="21"/>
        <v>outlook.com</v>
      </c>
    </row>
    <row r="99" spans="1:30" x14ac:dyDescent="0.3">
      <c r="A99" t="s">
        <v>40</v>
      </c>
      <c r="B99" t="s">
        <v>121</v>
      </c>
      <c r="C99" t="s">
        <v>221</v>
      </c>
      <c r="D99">
        <v>64</v>
      </c>
      <c r="E99" t="s">
        <v>289</v>
      </c>
      <c r="F99" t="s">
        <v>292</v>
      </c>
      <c r="G99" t="s">
        <v>321</v>
      </c>
      <c r="H99" t="s">
        <v>421</v>
      </c>
      <c r="I99" t="s">
        <v>596</v>
      </c>
      <c r="J99" s="1">
        <v>45183</v>
      </c>
      <c r="K99" t="s">
        <v>1096</v>
      </c>
      <c r="L99" t="s">
        <v>1501</v>
      </c>
      <c r="M99">
        <v>330.11</v>
      </c>
      <c r="N99">
        <v>3</v>
      </c>
      <c r="O99" t="s">
        <v>1548</v>
      </c>
      <c r="P99">
        <v>3</v>
      </c>
      <c r="Q99">
        <v>65</v>
      </c>
      <c r="R99" s="1">
        <v>45186</v>
      </c>
      <c r="S99" t="s">
        <v>1648</v>
      </c>
      <c r="T99">
        <f t="shared" si="11"/>
        <v>3</v>
      </c>
      <c r="U99">
        <f t="shared" si="12"/>
        <v>990.33</v>
      </c>
      <c r="V99">
        <f t="shared" si="13"/>
        <v>1055.33</v>
      </c>
      <c r="W99">
        <f t="shared" si="14"/>
        <v>0.15</v>
      </c>
      <c r="X99">
        <f t="shared" si="15"/>
        <v>148.54949999999999</v>
      </c>
      <c r="Y99">
        <f t="shared" si="16"/>
        <v>906.78049999999996</v>
      </c>
      <c r="Z99" t="str">
        <f t="shared" si="17"/>
        <v>John Herrera</v>
      </c>
      <c r="AA99" s="1" t="str">
        <f t="shared" si="18"/>
        <v>In Time</v>
      </c>
      <c r="AB99" t="str">
        <f t="shared" si="19"/>
        <v>Sep</v>
      </c>
      <c r="AC99" s="9">
        <f t="shared" si="20"/>
        <v>2023</v>
      </c>
      <c r="AD99" t="str">
        <f t="shared" si="21"/>
        <v>outlook.com</v>
      </c>
    </row>
    <row r="100" spans="1:30" x14ac:dyDescent="0.3">
      <c r="A100" t="s">
        <v>81</v>
      </c>
      <c r="B100" t="s">
        <v>171</v>
      </c>
      <c r="C100" t="s">
        <v>258</v>
      </c>
      <c r="D100">
        <v>45</v>
      </c>
      <c r="E100" t="s">
        <v>290</v>
      </c>
      <c r="F100" t="s">
        <v>296</v>
      </c>
      <c r="G100" t="s">
        <v>362</v>
      </c>
      <c r="H100" t="s">
        <v>462</v>
      </c>
      <c r="I100" t="s">
        <v>597</v>
      </c>
      <c r="J100" s="1">
        <v>45673</v>
      </c>
      <c r="K100" t="s">
        <v>1097</v>
      </c>
      <c r="L100" t="s">
        <v>1510</v>
      </c>
      <c r="M100">
        <v>220.27</v>
      </c>
      <c r="N100">
        <v>2</v>
      </c>
      <c r="O100" t="s">
        <v>1550</v>
      </c>
      <c r="P100">
        <v>1</v>
      </c>
      <c r="Q100">
        <v>63</v>
      </c>
      <c r="R100" s="1">
        <v>45675</v>
      </c>
      <c r="S100" t="s">
        <v>1649</v>
      </c>
      <c r="T100">
        <f t="shared" si="11"/>
        <v>2</v>
      </c>
      <c r="U100">
        <f t="shared" si="12"/>
        <v>440.54</v>
      </c>
      <c r="V100">
        <f t="shared" si="13"/>
        <v>503.54</v>
      </c>
      <c r="W100">
        <f t="shared" si="14"/>
        <v>0.2</v>
      </c>
      <c r="X100">
        <f t="shared" si="15"/>
        <v>88.108000000000004</v>
      </c>
      <c r="Y100">
        <f t="shared" si="16"/>
        <v>415.43200000000002</v>
      </c>
      <c r="Z100" t="str">
        <f t="shared" si="17"/>
        <v>Beth Mason</v>
      </c>
      <c r="AA100" s="1" t="str">
        <f t="shared" si="18"/>
        <v>Late</v>
      </c>
      <c r="AB100" t="str">
        <f t="shared" si="19"/>
        <v>Jan</v>
      </c>
      <c r="AC100" s="9">
        <f t="shared" si="20"/>
        <v>2025</v>
      </c>
      <c r="AD100" t="str">
        <f t="shared" si="21"/>
        <v>outlook.com</v>
      </c>
    </row>
    <row r="101" spans="1:30" x14ac:dyDescent="0.3">
      <c r="A101" t="s">
        <v>77</v>
      </c>
      <c r="B101" t="s">
        <v>169</v>
      </c>
      <c r="C101" t="s">
        <v>255</v>
      </c>
      <c r="D101">
        <v>21</v>
      </c>
      <c r="E101" t="s">
        <v>288</v>
      </c>
      <c r="F101" t="s">
        <v>292</v>
      </c>
      <c r="G101" t="s">
        <v>358</v>
      </c>
      <c r="H101" t="s">
        <v>458</v>
      </c>
      <c r="I101" t="s">
        <v>598</v>
      </c>
      <c r="J101" s="1">
        <v>45321</v>
      </c>
      <c r="K101" t="s">
        <v>1098</v>
      </c>
      <c r="L101" t="s">
        <v>1504</v>
      </c>
      <c r="M101">
        <v>275.44</v>
      </c>
      <c r="N101">
        <v>3</v>
      </c>
      <c r="O101" t="s">
        <v>1548</v>
      </c>
      <c r="P101">
        <v>7</v>
      </c>
      <c r="Q101">
        <v>47</v>
      </c>
      <c r="R101" s="1">
        <v>45322</v>
      </c>
      <c r="S101" t="s">
        <v>1650</v>
      </c>
      <c r="T101">
        <f t="shared" si="11"/>
        <v>1</v>
      </c>
      <c r="U101">
        <f t="shared" si="12"/>
        <v>826.31999999999994</v>
      </c>
      <c r="V101">
        <f t="shared" si="13"/>
        <v>873.31999999999994</v>
      </c>
      <c r="W101">
        <f t="shared" si="14"/>
        <v>0.15</v>
      </c>
      <c r="X101">
        <f t="shared" si="15"/>
        <v>123.94799999999998</v>
      </c>
      <c r="Y101">
        <f t="shared" si="16"/>
        <v>749.37199999999996</v>
      </c>
      <c r="Z101" t="str">
        <f t="shared" si="17"/>
        <v>William Mann</v>
      </c>
      <c r="AA101" s="1" t="str">
        <f t="shared" si="18"/>
        <v>Before Time</v>
      </c>
      <c r="AB101" t="str">
        <f t="shared" si="19"/>
        <v>Jan</v>
      </c>
      <c r="AC101" s="9">
        <f t="shared" si="20"/>
        <v>2024</v>
      </c>
      <c r="AD101" t="str">
        <f t="shared" si="21"/>
        <v>yahoo.com</v>
      </c>
    </row>
    <row r="102" spans="1:30" x14ac:dyDescent="0.3">
      <c r="A102" t="s">
        <v>82</v>
      </c>
      <c r="B102" t="s">
        <v>172</v>
      </c>
      <c r="C102" t="s">
        <v>259</v>
      </c>
      <c r="D102">
        <v>38</v>
      </c>
      <c r="E102" t="s">
        <v>289</v>
      </c>
      <c r="F102" t="s">
        <v>298</v>
      </c>
      <c r="G102" t="s">
        <v>363</v>
      </c>
      <c r="H102" t="s">
        <v>463</v>
      </c>
      <c r="I102" t="s">
        <v>599</v>
      </c>
      <c r="J102" s="1">
        <v>45203</v>
      </c>
      <c r="K102" t="s">
        <v>1099</v>
      </c>
      <c r="L102" t="s">
        <v>1535</v>
      </c>
      <c r="M102">
        <v>477.52</v>
      </c>
      <c r="N102">
        <v>3</v>
      </c>
      <c r="O102" t="s">
        <v>2047</v>
      </c>
      <c r="P102">
        <v>7</v>
      </c>
      <c r="Q102">
        <v>66</v>
      </c>
      <c r="R102" s="1">
        <v>45208</v>
      </c>
      <c r="S102" t="s">
        <v>1651</v>
      </c>
      <c r="T102">
        <f t="shared" si="11"/>
        <v>5</v>
      </c>
      <c r="U102">
        <f t="shared" si="12"/>
        <v>1432.56</v>
      </c>
      <c r="V102">
        <f t="shared" si="13"/>
        <v>1498.56</v>
      </c>
      <c r="W102">
        <f t="shared" si="14"/>
        <v>0.08</v>
      </c>
      <c r="X102">
        <f t="shared" si="15"/>
        <v>114.6048</v>
      </c>
      <c r="Y102">
        <f t="shared" si="16"/>
        <v>1383.9551999999999</v>
      </c>
      <c r="Z102" t="str">
        <f t="shared" si="17"/>
        <v>Christy Chang</v>
      </c>
      <c r="AA102" s="1" t="str">
        <f t="shared" si="18"/>
        <v>Before Time</v>
      </c>
      <c r="AB102" t="str">
        <f t="shared" si="19"/>
        <v>Oct</v>
      </c>
      <c r="AC102" s="9">
        <f t="shared" si="20"/>
        <v>2023</v>
      </c>
      <c r="AD102" t="str">
        <f t="shared" si="21"/>
        <v>outlook.com</v>
      </c>
    </row>
    <row r="103" spans="1:30" x14ac:dyDescent="0.3">
      <c r="A103" t="s">
        <v>83</v>
      </c>
      <c r="B103" t="s">
        <v>173</v>
      </c>
      <c r="C103" t="s">
        <v>260</v>
      </c>
      <c r="D103">
        <v>68</v>
      </c>
      <c r="E103" t="s">
        <v>288</v>
      </c>
      <c r="F103" t="s">
        <v>298</v>
      </c>
      <c r="G103" t="s">
        <v>364</v>
      </c>
      <c r="H103" t="s">
        <v>464</v>
      </c>
      <c r="I103" t="s">
        <v>600</v>
      </c>
      <c r="J103" s="1">
        <v>45636</v>
      </c>
      <c r="K103" t="s">
        <v>1100</v>
      </c>
      <c r="L103" t="s">
        <v>1540</v>
      </c>
      <c r="M103">
        <v>424.82</v>
      </c>
      <c r="N103">
        <v>1</v>
      </c>
      <c r="O103" t="s">
        <v>1547</v>
      </c>
      <c r="P103">
        <v>6</v>
      </c>
      <c r="Q103">
        <v>44</v>
      </c>
      <c r="R103" s="1">
        <v>45638</v>
      </c>
      <c r="S103" t="s">
        <v>1652</v>
      </c>
      <c r="T103">
        <f t="shared" si="11"/>
        <v>2</v>
      </c>
      <c r="U103">
        <f t="shared" si="12"/>
        <v>424.82</v>
      </c>
      <c r="V103">
        <f t="shared" si="13"/>
        <v>424.82</v>
      </c>
      <c r="W103">
        <f t="shared" si="14"/>
        <v>0</v>
      </c>
      <c r="X103">
        <f t="shared" si="15"/>
        <v>0</v>
      </c>
      <c r="Y103">
        <f t="shared" si="16"/>
        <v>424.82</v>
      </c>
      <c r="Z103" t="str">
        <f t="shared" si="17"/>
        <v>Troy Gomez</v>
      </c>
      <c r="AA103" s="1" t="str">
        <f t="shared" si="18"/>
        <v>Before Time</v>
      </c>
      <c r="AB103" t="str">
        <f t="shared" si="19"/>
        <v>Dec</v>
      </c>
      <c r="AC103" s="9">
        <f t="shared" si="20"/>
        <v>2024</v>
      </c>
      <c r="AD103" t="str">
        <f t="shared" si="21"/>
        <v>outlook.com</v>
      </c>
    </row>
    <row r="104" spans="1:30" x14ac:dyDescent="0.3">
      <c r="A104" t="s">
        <v>84</v>
      </c>
      <c r="B104" t="s">
        <v>174</v>
      </c>
      <c r="C104" t="s">
        <v>261</v>
      </c>
      <c r="D104">
        <v>65</v>
      </c>
      <c r="E104" t="s">
        <v>289</v>
      </c>
      <c r="F104" t="s">
        <v>296</v>
      </c>
      <c r="G104" t="s">
        <v>365</v>
      </c>
      <c r="H104" t="s">
        <v>465</v>
      </c>
      <c r="I104" t="s">
        <v>601</v>
      </c>
      <c r="J104" s="1">
        <v>45165</v>
      </c>
      <c r="K104" t="s">
        <v>1101</v>
      </c>
      <c r="L104" t="s">
        <v>1530</v>
      </c>
      <c r="M104">
        <v>369.03</v>
      </c>
      <c r="N104">
        <v>4</v>
      </c>
      <c r="O104" t="s">
        <v>2047</v>
      </c>
      <c r="P104">
        <v>3</v>
      </c>
      <c r="Q104">
        <v>56</v>
      </c>
      <c r="R104" s="1">
        <v>45169</v>
      </c>
      <c r="S104" t="s">
        <v>1653</v>
      </c>
      <c r="T104">
        <f t="shared" si="11"/>
        <v>4</v>
      </c>
      <c r="U104">
        <f t="shared" si="12"/>
        <v>1476.12</v>
      </c>
      <c r="V104">
        <f t="shared" si="13"/>
        <v>1532.12</v>
      </c>
      <c r="W104">
        <f t="shared" si="14"/>
        <v>0.08</v>
      </c>
      <c r="X104">
        <f t="shared" si="15"/>
        <v>118.08959999999999</v>
      </c>
      <c r="Y104">
        <f t="shared" si="16"/>
        <v>1414.0303999999999</v>
      </c>
      <c r="Z104" t="str">
        <f t="shared" si="17"/>
        <v>Kim Blevins</v>
      </c>
      <c r="AA104" s="1" t="str">
        <f t="shared" si="18"/>
        <v>Late</v>
      </c>
      <c r="AB104" t="str">
        <f t="shared" si="19"/>
        <v>Aug</v>
      </c>
      <c r="AC104" s="9">
        <f t="shared" si="20"/>
        <v>2023</v>
      </c>
      <c r="AD104" t="str">
        <f t="shared" si="21"/>
        <v>outlook.com</v>
      </c>
    </row>
    <row r="105" spans="1:30" x14ac:dyDescent="0.3">
      <c r="A105" t="s">
        <v>85</v>
      </c>
      <c r="B105" t="s">
        <v>175</v>
      </c>
      <c r="C105" t="s">
        <v>262</v>
      </c>
      <c r="D105">
        <v>69</v>
      </c>
      <c r="E105" t="s">
        <v>288</v>
      </c>
      <c r="F105" t="s">
        <v>291</v>
      </c>
      <c r="G105" t="s">
        <v>366</v>
      </c>
      <c r="H105" t="s">
        <v>466</v>
      </c>
      <c r="I105" t="s">
        <v>848</v>
      </c>
      <c r="J105" s="1">
        <v>45484</v>
      </c>
      <c r="K105" t="s">
        <v>1348</v>
      </c>
      <c r="L105" t="s">
        <v>1533</v>
      </c>
      <c r="M105">
        <v>136.30000000000001</v>
      </c>
      <c r="N105">
        <v>2</v>
      </c>
      <c r="O105" t="s">
        <v>1549</v>
      </c>
      <c r="P105">
        <v>1</v>
      </c>
      <c r="Q105">
        <v>54</v>
      </c>
      <c r="R105" s="1">
        <v>45485</v>
      </c>
      <c r="S105" t="s">
        <v>1899</v>
      </c>
      <c r="T105">
        <f t="shared" si="11"/>
        <v>1</v>
      </c>
      <c r="U105">
        <f t="shared" si="12"/>
        <v>272.60000000000002</v>
      </c>
      <c r="V105">
        <f t="shared" si="13"/>
        <v>326.60000000000002</v>
      </c>
      <c r="W105">
        <f t="shared" si="14"/>
        <v>0.1</v>
      </c>
      <c r="X105">
        <f t="shared" si="15"/>
        <v>27.260000000000005</v>
      </c>
      <c r="Y105">
        <f t="shared" si="16"/>
        <v>299.34000000000003</v>
      </c>
      <c r="Z105" t="str">
        <f t="shared" si="17"/>
        <v>Brian Kennedy</v>
      </c>
      <c r="AA105" s="1" t="str">
        <f t="shared" si="18"/>
        <v>In Time</v>
      </c>
      <c r="AB105" t="str">
        <f t="shared" si="19"/>
        <v>Jul</v>
      </c>
      <c r="AC105" s="9">
        <f t="shared" si="20"/>
        <v>2024</v>
      </c>
      <c r="AD105" t="str">
        <f t="shared" si="21"/>
        <v>outlook.com</v>
      </c>
    </row>
    <row r="106" spans="1:30" x14ac:dyDescent="0.3">
      <c r="A106" t="s">
        <v>21</v>
      </c>
      <c r="B106" t="s">
        <v>121</v>
      </c>
      <c r="C106" t="s">
        <v>203</v>
      </c>
      <c r="D106">
        <v>28</v>
      </c>
      <c r="E106" t="s">
        <v>290</v>
      </c>
      <c r="F106" t="s">
        <v>294</v>
      </c>
      <c r="G106" t="s">
        <v>302</v>
      </c>
      <c r="H106" t="s">
        <v>402</v>
      </c>
      <c r="I106" t="s">
        <v>748</v>
      </c>
      <c r="J106" s="1">
        <v>45113</v>
      </c>
      <c r="K106" t="s">
        <v>1248</v>
      </c>
      <c r="L106" t="s">
        <v>1510</v>
      </c>
      <c r="M106">
        <v>220.27</v>
      </c>
      <c r="N106">
        <v>4</v>
      </c>
      <c r="O106" t="s">
        <v>1550</v>
      </c>
      <c r="P106">
        <v>4</v>
      </c>
      <c r="Q106">
        <v>65</v>
      </c>
      <c r="R106" s="1">
        <v>45117</v>
      </c>
      <c r="S106" t="s">
        <v>1799</v>
      </c>
      <c r="T106">
        <f t="shared" si="11"/>
        <v>4</v>
      </c>
      <c r="U106">
        <f t="shared" si="12"/>
        <v>881.08</v>
      </c>
      <c r="V106">
        <f t="shared" si="13"/>
        <v>946.08</v>
      </c>
      <c r="W106">
        <f t="shared" si="14"/>
        <v>0.2</v>
      </c>
      <c r="X106">
        <f t="shared" si="15"/>
        <v>176.21600000000001</v>
      </c>
      <c r="Y106">
        <f t="shared" si="16"/>
        <v>769.86400000000003</v>
      </c>
      <c r="Z106" t="str">
        <f t="shared" si="17"/>
        <v>John Ramirez</v>
      </c>
      <c r="AA106" s="1" t="str">
        <f t="shared" si="18"/>
        <v>In Time</v>
      </c>
      <c r="AB106" t="str">
        <f t="shared" si="19"/>
        <v>Jul</v>
      </c>
      <c r="AC106" s="9">
        <f t="shared" si="20"/>
        <v>2023</v>
      </c>
      <c r="AD106" t="str">
        <f t="shared" si="21"/>
        <v>outlook.com</v>
      </c>
    </row>
    <row r="107" spans="1:30" x14ac:dyDescent="0.3">
      <c r="A107" t="s">
        <v>77</v>
      </c>
      <c r="B107" t="s">
        <v>169</v>
      </c>
      <c r="C107" t="s">
        <v>255</v>
      </c>
      <c r="D107">
        <v>21</v>
      </c>
      <c r="E107" t="s">
        <v>288</v>
      </c>
      <c r="F107" t="s">
        <v>292</v>
      </c>
      <c r="G107" t="s">
        <v>358</v>
      </c>
      <c r="H107" t="s">
        <v>458</v>
      </c>
      <c r="I107" t="s">
        <v>604</v>
      </c>
      <c r="J107" s="1">
        <v>45530</v>
      </c>
      <c r="K107" t="s">
        <v>1104</v>
      </c>
      <c r="L107" t="s">
        <v>1541</v>
      </c>
      <c r="M107">
        <v>133.62</v>
      </c>
      <c r="N107">
        <v>5</v>
      </c>
      <c r="O107" t="s">
        <v>1548</v>
      </c>
      <c r="P107">
        <v>6</v>
      </c>
      <c r="Q107">
        <v>64</v>
      </c>
      <c r="R107" s="1">
        <v>45532</v>
      </c>
      <c r="S107" t="s">
        <v>1656</v>
      </c>
      <c r="T107">
        <f t="shared" si="11"/>
        <v>2</v>
      </c>
      <c r="U107">
        <f t="shared" si="12"/>
        <v>668.1</v>
      </c>
      <c r="V107">
        <f t="shared" si="13"/>
        <v>732.1</v>
      </c>
      <c r="W107">
        <f t="shared" si="14"/>
        <v>0.15</v>
      </c>
      <c r="X107">
        <f t="shared" si="15"/>
        <v>100.215</v>
      </c>
      <c r="Y107">
        <f t="shared" si="16"/>
        <v>631.88499999999999</v>
      </c>
      <c r="Z107" t="str">
        <f t="shared" si="17"/>
        <v>William Mann</v>
      </c>
      <c r="AA107" s="1" t="str">
        <f t="shared" si="18"/>
        <v>Before Time</v>
      </c>
      <c r="AB107" t="str">
        <f t="shared" si="19"/>
        <v>Aug</v>
      </c>
      <c r="AC107" s="9">
        <f t="shared" si="20"/>
        <v>2024</v>
      </c>
      <c r="AD107" t="str">
        <f t="shared" si="21"/>
        <v>yahoo.com</v>
      </c>
    </row>
    <row r="108" spans="1:30" x14ac:dyDescent="0.3">
      <c r="A108" t="s">
        <v>86</v>
      </c>
      <c r="B108" t="s">
        <v>176</v>
      </c>
      <c r="C108" t="s">
        <v>263</v>
      </c>
      <c r="D108">
        <v>26</v>
      </c>
      <c r="E108" t="s">
        <v>290</v>
      </c>
      <c r="F108" t="s">
        <v>295</v>
      </c>
      <c r="G108" t="s">
        <v>367</v>
      </c>
      <c r="H108" t="s">
        <v>467</v>
      </c>
      <c r="I108" t="s">
        <v>605</v>
      </c>
      <c r="J108" s="1">
        <v>45432</v>
      </c>
      <c r="K108" t="s">
        <v>1105</v>
      </c>
      <c r="L108" t="s">
        <v>1497</v>
      </c>
      <c r="M108">
        <v>308.88</v>
      </c>
      <c r="N108">
        <v>2</v>
      </c>
      <c r="O108" t="s">
        <v>1550</v>
      </c>
      <c r="P108">
        <v>4</v>
      </c>
      <c r="Q108">
        <v>61</v>
      </c>
      <c r="R108" s="1">
        <v>45436</v>
      </c>
      <c r="S108" t="s">
        <v>1657</v>
      </c>
      <c r="T108">
        <f t="shared" si="11"/>
        <v>4</v>
      </c>
      <c r="U108">
        <f t="shared" si="12"/>
        <v>617.76</v>
      </c>
      <c r="V108">
        <f t="shared" si="13"/>
        <v>678.76</v>
      </c>
      <c r="W108">
        <f t="shared" si="14"/>
        <v>0.2</v>
      </c>
      <c r="X108">
        <f t="shared" si="15"/>
        <v>123.55200000000001</v>
      </c>
      <c r="Y108">
        <f t="shared" si="16"/>
        <v>555.20799999999997</v>
      </c>
      <c r="Z108" t="str">
        <f t="shared" si="17"/>
        <v>Gregory Lee</v>
      </c>
      <c r="AA108" s="1" t="str">
        <f t="shared" si="18"/>
        <v>In Time</v>
      </c>
      <c r="AB108" t="str">
        <f t="shared" si="19"/>
        <v>May</v>
      </c>
      <c r="AC108" s="9">
        <f t="shared" si="20"/>
        <v>2024</v>
      </c>
      <c r="AD108" t="str">
        <f t="shared" si="21"/>
        <v>rediffmail.com</v>
      </c>
    </row>
    <row r="109" spans="1:30" x14ac:dyDescent="0.3">
      <c r="A109" t="s">
        <v>41</v>
      </c>
      <c r="B109" t="s">
        <v>122</v>
      </c>
      <c r="C109" t="s">
        <v>222</v>
      </c>
      <c r="D109">
        <v>52</v>
      </c>
      <c r="E109" t="s">
        <v>290</v>
      </c>
      <c r="F109" t="s">
        <v>292</v>
      </c>
      <c r="G109" t="s">
        <v>322</v>
      </c>
      <c r="H109" t="s">
        <v>422</v>
      </c>
      <c r="I109" t="s">
        <v>606</v>
      </c>
      <c r="J109" s="1">
        <v>45427</v>
      </c>
      <c r="K109" t="s">
        <v>1106</v>
      </c>
      <c r="L109" t="s">
        <v>1514</v>
      </c>
      <c r="M109">
        <v>461.07</v>
      </c>
      <c r="N109">
        <v>1</v>
      </c>
      <c r="O109" t="s">
        <v>1550</v>
      </c>
      <c r="P109">
        <v>7</v>
      </c>
      <c r="Q109">
        <v>57</v>
      </c>
      <c r="R109" s="1">
        <v>45434</v>
      </c>
      <c r="S109" t="s">
        <v>1658</v>
      </c>
      <c r="T109">
        <f t="shared" si="11"/>
        <v>7</v>
      </c>
      <c r="U109">
        <f t="shared" si="12"/>
        <v>461.07</v>
      </c>
      <c r="V109">
        <f t="shared" si="13"/>
        <v>518.06999999999994</v>
      </c>
      <c r="W109">
        <f t="shared" si="14"/>
        <v>0.2</v>
      </c>
      <c r="X109">
        <f t="shared" si="15"/>
        <v>92.213999999999999</v>
      </c>
      <c r="Y109">
        <f t="shared" si="16"/>
        <v>425.85599999999994</v>
      </c>
      <c r="Z109" t="str">
        <f t="shared" si="17"/>
        <v>Angela Evans</v>
      </c>
      <c r="AA109" s="1" t="str">
        <f t="shared" si="18"/>
        <v>In Time</v>
      </c>
      <c r="AB109" t="str">
        <f t="shared" si="19"/>
        <v>May</v>
      </c>
      <c r="AC109" s="9">
        <f t="shared" si="20"/>
        <v>2024</v>
      </c>
      <c r="AD109" t="str">
        <f t="shared" si="21"/>
        <v>outlook.com</v>
      </c>
    </row>
    <row r="110" spans="1:30" x14ac:dyDescent="0.3">
      <c r="A110" t="s">
        <v>87</v>
      </c>
      <c r="B110" t="s">
        <v>177</v>
      </c>
      <c r="C110" t="s">
        <v>264</v>
      </c>
      <c r="D110">
        <v>32</v>
      </c>
      <c r="E110" t="s">
        <v>289</v>
      </c>
      <c r="F110" t="s">
        <v>291</v>
      </c>
      <c r="G110" t="s">
        <v>368</v>
      </c>
      <c r="H110" t="s">
        <v>468</v>
      </c>
      <c r="I110" t="s">
        <v>607</v>
      </c>
      <c r="J110" s="1">
        <v>45021</v>
      </c>
      <c r="K110" t="s">
        <v>1107</v>
      </c>
      <c r="L110" t="s">
        <v>1518</v>
      </c>
      <c r="M110">
        <v>496.59</v>
      </c>
      <c r="N110">
        <v>5</v>
      </c>
      <c r="O110" t="s">
        <v>1550</v>
      </c>
      <c r="P110">
        <v>1</v>
      </c>
      <c r="Q110">
        <v>40</v>
      </c>
      <c r="R110" s="1">
        <v>45025</v>
      </c>
      <c r="S110" t="s">
        <v>1659</v>
      </c>
      <c r="T110">
        <f t="shared" si="11"/>
        <v>4</v>
      </c>
      <c r="U110">
        <f t="shared" si="12"/>
        <v>2482.9499999999998</v>
      </c>
      <c r="V110">
        <f t="shared" si="13"/>
        <v>2522.9499999999998</v>
      </c>
      <c r="W110">
        <f t="shared" si="14"/>
        <v>0.2</v>
      </c>
      <c r="X110">
        <f t="shared" si="15"/>
        <v>496.59</v>
      </c>
      <c r="Y110">
        <f t="shared" si="16"/>
        <v>2026.36</v>
      </c>
      <c r="Z110" t="str">
        <f t="shared" si="17"/>
        <v>Bruce Allen</v>
      </c>
      <c r="AA110" s="1" t="str">
        <f t="shared" si="18"/>
        <v>Late</v>
      </c>
      <c r="AB110" t="str">
        <f t="shared" si="19"/>
        <v>Apr</v>
      </c>
      <c r="AC110" s="9">
        <f t="shared" si="20"/>
        <v>2023</v>
      </c>
      <c r="AD110" t="str">
        <f t="shared" si="21"/>
        <v>rediffmail.com</v>
      </c>
    </row>
    <row r="111" spans="1:30" x14ac:dyDescent="0.3">
      <c r="A111" t="s">
        <v>88</v>
      </c>
      <c r="B111" t="s">
        <v>178</v>
      </c>
      <c r="C111" t="s">
        <v>215</v>
      </c>
      <c r="D111">
        <v>70</v>
      </c>
      <c r="E111" t="s">
        <v>289</v>
      </c>
      <c r="F111" t="s">
        <v>296</v>
      </c>
      <c r="G111" t="s">
        <v>369</v>
      </c>
      <c r="H111" t="s">
        <v>469</v>
      </c>
      <c r="I111" t="s">
        <v>608</v>
      </c>
      <c r="J111" s="1">
        <v>45005</v>
      </c>
      <c r="K111" t="s">
        <v>1108</v>
      </c>
      <c r="L111" t="s">
        <v>1512</v>
      </c>
      <c r="M111">
        <v>104.18</v>
      </c>
      <c r="N111">
        <v>2</v>
      </c>
      <c r="O111" t="s">
        <v>2047</v>
      </c>
      <c r="P111">
        <v>2</v>
      </c>
      <c r="Q111">
        <v>40</v>
      </c>
      <c r="R111" s="1">
        <v>45010</v>
      </c>
      <c r="S111" t="s">
        <v>1660</v>
      </c>
      <c r="T111">
        <f t="shared" si="11"/>
        <v>5</v>
      </c>
      <c r="U111">
        <f t="shared" si="12"/>
        <v>208.36</v>
      </c>
      <c r="V111">
        <f t="shared" si="13"/>
        <v>248.36</v>
      </c>
      <c r="W111">
        <f t="shared" si="14"/>
        <v>0.08</v>
      </c>
      <c r="X111">
        <f t="shared" si="15"/>
        <v>16.668800000000001</v>
      </c>
      <c r="Y111">
        <f t="shared" si="16"/>
        <v>231.69120000000001</v>
      </c>
      <c r="Z111" t="str">
        <f t="shared" si="17"/>
        <v>Lisa Miller</v>
      </c>
      <c r="AA111" s="1" t="str">
        <f t="shared" si="18"/>
        <v>Late</v>
      </c>
      <c r="AB111" t="str">
        <f t="shared" si="19"/>
        <v>Mar</v>
      </c>
      <c r="AC111" s="9">
        <f t="shared" si="20"/>
        <v>2023</v>
      </c>
      <c r="AD111" t="str">
        <f t="shared" si="21"/>
        <v>gmail.com</v>
      </c>
    </row>
    <row r="112" spans="1:30" x14ac:dyDescent="0.3">
      <c r="A112" t="s">
        <v>89</v>
      </c>
      <c r="B112" t="s">
        <v>179</v>
      </c>
      <c r="C112" t="s">
        <v>265</v>
      </c>
      <c r="D112">
        <v>30</v>
      </c>
      <c r="E112" t="s">
        <v>288</v>
      </c>
      <c r="F112" t="s">
        <v>293</v>
      </c>
      <c r="G112" t="s">
        <v>370</v>
      </c>
      <c r="H112" t="s">
        <v>470</v>
      </c>
      <c r="I112" t="s">
        <v>609</v>
      </c>
      <c r="J112" s="1">
        <v>45406</v>
      </c>
      <c r="K112" t="s">
        <v>1109</v>
      </c>
      <c r="L112" t="s">
        <v>1521</v>
      </c>
      <c r="M112">
        <v>110.95</v>
      </c>
      <c r="N112">
        <v>2</v>
      </c>
      <c r="O112" t="s">
        <v>2047</v>
      </c>
      <c r="P112">
        <v>4</v>
      </c>
      <c r="Q112">
        <v>68</v>
      </c>
      <c r="R112" s="1">
        <v>45408</v>
      </c>
      <c r="S112" t="s">
        <v>1661</v>
      </c>
      <c r="T112">
        <f t="shared" si="11"/>
        <v>2</v>
      </c>
      <c r="U112">
        <f t="shared" si="12"/>
        <v>221.9</v>
      </c>
      <c r="V112">
        <f t="shared" si="13"/>
        <v>289.89999999999998</v>
      </c>
      <c r="W112">
        <f t="shared" si="14"/>
        <v>0.08</v>
      </c>
      <c r="X112">
        <f t="shared" si="15"/>
        <v>17.752000000000002</v>
      </c>
      <c r="Y112">
        <f t="shared" si="16"/>
        <v>272.14799999999997</v>
      </c>
      <c r="Z112" t="str">
        <f t="shared" si="17"/>
        <v>Melissa Levy</v>
      </c>
      <c r="AA112" s="1" t="str">
        <f t="shared" si="18"/>
        <v>Before Time</v>
      </c>
      <c r="AB112" t="str">
        <f t="shared" si="19"/>
        <v>Apr</v>
      </c>
      <c r="AC112" s="9">
        <f t="shared" si="20"/>
        <v>2024</v>
      </c>
      <c r="AD112" t="str">
        <f t="shared" si="21"/>
        <v>rediffmail.com</v>
      </c>
    </row>
    <row r="113" spans="1:30" x14ac:dyDescent="0.3">
      <c r="A113" t="s">
        <v>81</v>
      </c>
      <c r="B113" t="s">
        <v>171</v>
      </c>
      <c r="C113" t="s">
        <v>258</v>
      </c>
      <c r="D113">
        <v>45</v>
      </c>
      <c r="E113" t="s">
        <v>290</v>
      </c>
      <c r="F113" t="s">
        <v>296</v>
      </c>
      <c r="G113" t="s">
        <v>362</v>
      </c>
      <c r="H113" t="s">
        <v>462</v>
      </c>
      <c r="I113" t="s">
        <v>610</v>
      </c>
      <c r="J113" s="1">
        <v>45665</v>
      </c>
      <c r="K113" t="s">
        <v>1110</v>
      </c>
      <c r="L113" t="s">
        <v>1518</v>
      </c>
      <c r="M113">
        <v>496.59</v>
      </c>
      <c r="N113">
        <v>2</v>
      </c>
      <c r="O113" t="s">
        <v>1547</v>
      </c>
      <c r="P113">
        <v>5</v>
      </c>
      <c r="Q113">
        <v>40</v>
      </c>
      <c r="R113" s="1">
        <v>45667</v>
      </c>
      <c r="S113" t="s">
        <v>1662</v>
      </c>
      <c r="T113">
        <f t="shared" si="11"/>
        <v>2</v>
      </c>
      <c r="U113">
        <f t="shared" si="12"/>
        <v>993.18</v>
      </c>
      <c r="V113">
        <f t="shared" si="13"/>
        <v>993.18</v>
      </c>
      <c r="W113">
        <f t="shared" si="14"/>
        <v>0</v>
      </c>
      <c r="X113">
        <f t="shared" si="15"/>
        <v>0</v>
      </c>
      <c r="Y113">
        <f t="shared" si="16"/>
        <v>993.18</v>
      </c>
      <c r="Z113" t="str">
        <f t="shared" si="17"/>
        <v>Beth Mason</v>
      </c>
      <c r="AA113" s="1" t="str">
        <f t="shared" si="18"/>
        <v>Before Time</v>
      </c>
      <c r="AB113" t="str">
        <f t="shared" si="19"/>
        <v>Jan</v>
      </c>
      <c r="AC113" s="9">
        <f t="shared" si="20"/>
        <v>2025</v>
      </c>
      <c r="AD113" t="str">
        <f t="shared" si="21"/>
        <v>outlook.com</v>
      </c>
    </row>
    <row r="114" spans="1:30" x14ac:dyDescent="0.3">
      <c r="A114" t="s">
        <v>68</v>
      </c>
      <c r="B114" t="s">
        <v>162</v>
      </c>
      <c r="C114" t="s">
        <v>232</v>
      </c>
      <c r="D114">
        <v>39</v>
      </c>
      <c r="E114" t="s">
        <v>290</v>
      </c>
      <c r="F114" t="s">
        <v>292</v>
      </c>
      <c r="G114" t="s">
        <v>349</v>
      </c>
      <c r="H114" t="s">
        <v>449</v>
      </c>
      <c r="I114" t="s">
        <v>611</v>
      </c>
      <c r="J114" s="1">
        <v>45397</v>
      </c>
      <c r="K114" t="s">
        <v>1111</v>
      </c>
      <c r="L114" t="s">
        <v>1507</v>
      </c>
      <c r="M114">
        <v>257.06</v>
      </c>
      <c r="N114">
        <v>4</v>
      </c>
      <c r="O114" t="s">
        <v>1550</v>
      </c>
      <c r="P114">
        <v>3</v>
      </c>
      <c r="Q114">
        <v>50</v>
      </c>
      <c r="R114" s="1">
        <v>45401</v>
      </c>
      <c r="S114" t="s">
        <v>1663</v>
      </c>
      <c r="T114">
        <f t="shared" si="11"/>
        <v>4</v>
      </c>
      <c r="U114">
        <f t="shared" si="12"/>
        <v>1028.24</v>
      </c>
      <c r="V114">
        <f t="shared" si="13"/>
        <v>1078.24</v>
      </c>
      <c r="W114">
        <f t="shared" si="14"/>
        <v>0.2</v>
      </c>
      <c r="X114">
        <f t="shared" si="15"/>
        <v>205.64800000000002</v>
      </c>
      <c r="Y114">
        <f t="shared" si="16"/>
        <v>872.59199999999998</v>
      </c>
      <c r="Z114" t="str">
        <f t="shared" si="17"/>
        <v>Mitchell Parker</v>
      </c>
      <c r="AA114" s="1" t="str">
        <f t="shared" si="18"/>
        <v>Late</v>
      </c>
      <c r="AB114" t="str">
        <f t="shared" si="19"/>
        <v>Apr</v>
      </c>
      <c r="AC114" s="9">
        <f t="shared" si="20"/>
        <v>2024</v>
      </c>
      <c r="AD114" t="str">
        <f t="shared" si="21"/>
        <v>yahoo.com</v>
      </c>
    </row>
    <row r="115" spans="1:30" x14ac:dyDescent="0.3">
      <c r="A115" t="s">
        <v>79</v>
      </c>
      <c r="B115" t="s">
        <v>129</v>
      </c>
      <c r="C115" t="s">
        <v>256</v>
      </c>
      <c r="D115">
        <v>47</v>
      </c>
      <c r="E115" t="s">
        <v>290</v>
      </c>
      <c r="F115" t="s">
        <v>295</v>
      </c>
      <c r="G115" t="s">
        <v>360</v>
      </c>
      <c r="H115" t="s">
        <v>460</v>
      </c>
      <c r="I115" t="s">
        <v>719</v>
      </c>
      <c r="J115" s="1">
        <v>45397</v>
      </c>
      <c r="K115" t="s">
        <v>1219</v>
      </c>
      <c r="L115" t="s">
        <v>1543</v>
      </c>
      <c r="M115">
        <v>381.73</v>
      </c>
      <c r="N115">
        <v>4</v>
      </c>
      <c r="O115" t="s">
        <v>1549</v>
      </c>
      <c r="P115">
        <v>1</v>
      </c>
      <c r="Q115">
        <v>66</v>
      </c>
      <c r="R115" s="1">
        <v>45400</v>
      </c>
      <c r="S115" t="s">
        <v>1770</v>
      </c>
      <c r="T115">
        <f t="shared" si="11"/>
        <v>3</v>
      </c>
      <c r="U115">
        <f t="shared" si="12"/>
        <v>1526.92</v>
      </c>
      <c r="V115">
        <f t="shared" si="13"/>
        <v>1592.92</v>
      </c>
      <c r="W115">
        <f t="shared" si="14"/>
        <v>0.1</v>
      </c>
      <c r="X115">
        <f t="shared" si="15"/>
        <v>152.69200000000001</v>
      </c>
      <c r="Y115">
        <f t="shared" si="16"/>
        <v>1440.2280000000001</v>
      </c>
      <c r="Z115" t="str">
        <f t="shared" si="17"/>
        <v>Joseph Gaines</v>
      </c>
      <c r="AA115" s="1" t="str">
        <f t="shared" si="18"/>
        <v>Late</v>
      </c>
      <c r="AB115" t="str">
        <f t="shared" si="19"/>
        <v>Apr</v>
      </c>
      <c r="AC115" s="9">
        <f t="shared" si="20"/>
        <v>2024</v>
      </c>
      <c r="AD115" t="str">
        <f t="shared" si="21"/>
        <v>outlook.com</v>
      </c>
    </row>
    <row r="116" spans="1:30" x14ac:dyDescent="0.3">
      <c r="A116" t="s">
        <v>91</v>
      </c>
      <c r="B116" t="s">
        <v>180</v>
      </c>
      <c r="C116" t="s">
        <v>267</v>
      </c>
      <c r="D116">
        <v>43</v>
      </c>
      <c r="E116" t="s">
        <v>290</v>
      </c>
      <c r="F116" t="s">
        <v>293</v>
      </c>
      <c r="G116" t="s">
        <v>372</v>
      </c>
      <c r="H116" t="s">
        <v>472</v>
      </c>
      <c r="I116" t="s">
        <v>613</v>
      </c>
      <c r="J116" s="1">
        <v>45276</v>
      </c>
      <c r="K116" t="s">
        <v>1113</v>
      </c>
      <c r="L116" t="s">
        <v>1528</v>
      </c>
      <c r="M116">
        <v>431.44</v>
      </c>
      <c r="N116">
        <v>5</v>
      </c>
      <c r="O116" t="s">
        <v>1548</v>
      </c>
      <c r="P116">
        <v>4</v>
      </c>
      <c r="Q116">
        <v>42</v>
      </c>
      <c r="R116" s="1">
        <v>45280</v>
      </c>
      <c r="S116" t="s">
        <v>1665</v>
      </c>
      <c r="T116">
        <f t="shared" si="11"/>
        <v>4</v>
      </c>
      <c r="U116">
        <f t="shared" si="12"/>
        <v>2157.1999999999998</v>
      </c>
      <c r="V116">
        <f t="shared" si="13"/>
        <v>2199.1999999999998</v>
      </c>
      <c r="W116">
        <f t="shared" si="14"/>
        <v>0.15</v>
      </c>
      <c r="X116">
        <f t="shared" si="15"/>
        <v>323.58</v>
      </c>
      <c r="Y116">
        <f t="shared" si="16"/>
        <v>1875.62</v>
      </c>
      <c r="Z116" t="str">
        <f t="shared" si="17"/>
        <v>Barbara Fuller</v>
      </c>
      <c r="AA116" s="1" t="str">
        <f t="shared" si="18"/>
        <v>In Time</v>
      </c>
      <c r="AB116" t="str">
        <f t="shared" si="19"/>
        <v>Dec</v>
      </c>
      <c r="AC116" s="9">
        <f t="shared" si="20"/>
        <v>2023</v>
      </c>
      <c r="AD116" t="str">
        <f t="shared" si="21"/>
        <v>rediffmail.com</v>
      </c>
    </row>
    <row r="117" spans="1:30" x14ac:dyDescent="0.3">
      <c r="A117" t="s">
        <v>73</v>
      </c>
      <c r="B117" t="s">
        <v>166</v>
      </c>
      <c r="C117" t="s">
        <v>251</v>
      </c>
      <c r="D117">
        <v>32</v>
      </c>
      <c r="E117" t="s">
        <v>290</v>
      </c>
      <c r="F117" t="s">
        <v>296</v>
      </c>
      <c r="G117" t="s">
        <v>354</v>
      </c>
      <c r="H117" t="s">
        <v>454</v>
      </c>
      <c r="I117" t="s">
        <v>614</v>
      </c>
      <c r="J117" s="1">
        <v>45131</v>
      </c>
      <c r="K117" t="s">
        <v>1114</v>
      </c>
      <c r="L117" t="s">
        <v>1508</v>
      </c>
      <c r="M117">
        <v>175.93</v>
      </c>
      <c r="N117">
        <v>5</v>
      </c>
      <c r="O117" t="s">
        <v>1547</v>
      </c>
      <c r="P117">
        <v>5</v>
      </c>
      <c r="Q117">
        <v>63</v>
      </c>
      <c r="R117" s="1">
        <v>45138</v>
      </c>
      <c r="S117" t="s">
        <v>1666</v>
      </c>
      <c r="T117">
        <f t="shared" si="11"/>
        <v>7</v>
      </c>
      <c r="U117">
        <f t="shared" si="12"/>
        <v>879.65000000000009</v>
      </c>
      <c r="V117">
        <f t="shared" si="13"/>
        <v>879.65000000000009</v>
      </c>
      <c r="W117">
        <f t="shared" si="14"/>
        <v>0</v>
      </c>
      <c r="X117">
        <f t="shared" si="15"/>
        <v>0</v>
      </c>
      <c r="Y117">
        <f t="shared" si="16"/>
        <v>879.65000000000009</v>
      </c>
      <c r="Z117" t="str">
        <f t="shared" si="17"/>
        <v>Brandon Cruz</v>
      </c>
      <c r="AA117" s="1" t="str">
        <f t="shared" si="18"/>
        <v>Late</v>
      </c>
      <c r="AB117" t="str">
        <f t="shared" si="19"/>
        <v>Jul</v>
      </c>
      <c r="AC117" s="9">
        <f t="shared" si="20"/>
        <v>2023</v>
      </c>
      <c r="AD117" t="str">
        <f t="shared" si="21"/>
        <v>gmail.com</v>
      </c>
    </row>
    <row r="118" spans="1:30" x14ac:dyDescent="0.3">
      <c r="A118" t="s">
        <v>28</v>
      </c>
      <c r="B118" t="s">
        <v>128</v>
      </c>
      <c r="C118" t="s">
        <v>210</v>
      </c>
      <c r="D118">
        <v>20</v>
      </c>
      <c r="E118" t="s">
        <v>288</v>
      </c>
      <c r="F118" t="s">
        <v>296</v>
      </c>
      <c r="G118" t="s">
        <v>309</v>
      </c>
      <c r="H118" t="s">
        <v>409</v>
      </c>
      <c r="I118" t="s">
        <v>784</v>
      </c>
      <c r="J118" s="1">
        <v>45156</v>
      </c>
      <c r="K118" t="s">
        <v>1284</v>
      </c>
      <c r="L118" t="s">
        <v>1502</v>
      </c>
      <c r="M118">
        <v>202.54</v>
      </c>
      <c r="N118">
        <v>5</v>
      </c>
      <c r="O118" t="s">
        <v>2047</v>
      </c>
      <c r="P118">
        <v>2</v>
      </c>
      <c r="Q118">
        <v>68</v>
      </c>
      <c r="R118" s="1">
        <v>45159</v>
      </c>
      <c r="S118" t="s">
        <v>1835</v>
      </c>
      <c r="T118">
        <f t="shared" si="11"/>
        <v>3</v>
      </c>
      <c r="U118">
        <f t="shared" si="12"/>
        <v>1012.6999999999999</v>
      </c>
      <c r="V118">
        <f t="shared" si="13"/>
        <v>1080.6999999999998</v>
      </c>
      <c r="W118">
        <f t="shared" si="14"/>
        <v>0.08</v>
      </c>
      <c r="X118">
        <f t="shared" si="15"/>
        <v>81.015999999999991</v>
      </c>
      <c r="Y118">
        <f t="shared" si="16"/>
        <v>999.68399999999986</v>
      </c>
      <c r="Z118" t="str">
        <f t="shared" si="17"/>
        <v>Bobby Forbes</v>
      </c>
      <c r="AA118" s="1" t="str">
        <f t="shared" si="18"/>
        <v>Late</v>
      </c>
      <c r="AB118" t="str">
        <f t="shared" si="19"/>
        <v>Aug</v>
      </c>
      <c r="AC118" s="9">
        <f t="shared" si="20"/>
        <v>2023</v>
      </c>
      <c r="AD118" t="str">
        <f t="shared" si="21"/>
        <v>gmail.com</v>
      </c>
    </row>
    <row r="119" spans="1:30" x14ac:dyDescent="0.3">
      <c r="A119" t="s">
        <v>78</v>
      </c>
      <c r="B119" t="s">
        <v>170</v>
      </c>
      <c r="C119" t="s">
        <v>240</v>
      </c>
      <c r="D119">
        <v>18</v>
      </c>
      <c r="E119" t="s">
        <v>289</v>
      </c>
      <c r="F119" t="s">
        <v>292</v>
      </c>
      <c r="G119" t="s">
        <v>359</v>
      </c>
      <c r="H119" t="s">
        <v>459</v>
      </c>
      <c r="I119" t="s">
        <v>616</v>
      </c>
      <c r="J119" s="1">
        <v>45023</v>
      </c>
      <c r="K119" t="s">
        <v>1116</v>
      </c>
      <c r="L119" t="s">
        <v>1507</v>
      </c>
      <c r="M119">
        <v>257.06</v>
      </c>
      <c r="N119">
        <v>4</v>
      </c>
      <c r="O119" t="s">
        <v>1549</v>
      </c>
      <c r="P119">
        <v>1</v>
      </c>
      <c r="Q119">
        <v>65</v>
      </c>
      <c r="R119" s="1">
        <v>45025</v>
      </c>
      <c r="S119" t="s">
        <v>1668</v>
      </c>
      <c r="T119">
        <f t="shared" si="11"/>
        <v>2</v>
      </c>
      <c r="U119">
        <f t="shared" si="12"/>
        <v>1028.24</v>
      </c>
      <c r="V119">
        <f t="shared" si="13"/>
        <v>1093.24</v>
      </c>
      <c r="W119">
        <f t="shared" si="14"/>
        <v>0.1</v>
      </c>
      <c r="X119">
        <f t="shared" si="15"/>
        <v>102.82400000000001</v>
      </c>
      <c r="Y119">
        <f t="shared" si="16"/>
        <v>990.41599999999994</v>
      </c>
      <c r="Z119" t="str">
        <f t="shared" si="17"/>
        <v>Kelli Smith</v>
      </c>
      <c r="AA119" s="1" t="str">
        <f t="shared" si="18"/>
        <v>Late</v>
      </c>
      <c r="AB119" t="str">
        <f t="shared" si="19"/>
        <v>Apr</v>
      </c>
      <c r="AC119" s="9">
        <f t="shared" si="20"/>
        <v>2023</v>
      </c>
      <c r="AD119" t="str">
        <f t="shared" si="21"/>
        <v>rediffmail.com</v>
      </c>
    </row>
    <row r="120" spans="1:30" x14ac:dyDescent="0.3">
      <c r="A120" t="s">
        <v>92</v>
      </c>
      <c r="B120" t="s">
        <v>181</v>
      </c>
      <c r="C120" t="s">
        <v>268</v>
      </c>
      <c r="D120">
        <v>27</v>
      </c>
      <c r="E120" t="s">
        <v>288</v>
      </c>
      <c r="F120" t="s">
        <v>292</v>
      </c>
      <c r="G120" t="s">
        <v>373</v>
      </c>
      <c r="H120" t="s">
        <v>473</v>
      </c>
      <c r="I120" t="s">
        <v>617</v>
      </c>
      <c r="J120" s="1">
        <v>45183</v>
      </c>
      <c r="K120" t="s">
        <v>1117</v>
      </c>
      <c r="L120" t="s">
        <v>1542</v>
      </c>
      <c r="M120">
        <v>20</v>
      </c>
      <c r="N120">
        <v>1</v>
      </c>
      <c r="O120" t="s">
        <v>1549</v>
      </c>
      <c r="P120">
        <v>4</v>
      </c>
      <c r="Q120">
        <v>68</v>
      </c>
      <c r="R120" s="1">
        <v>45185</v>
      </c>
      <c r="S120" t="s">
        <v>1669</v>
      </c>
      <c r="T120">
        <f t="shared" si="11"/>
        <v>2</v>
      </c>
      <c r="U120">
        <f t="shared" si="12"/>
        <v>20</v>
      </c>
      <c r="V120">
        <f t="shared" si="13"/>
        <v>88</v>
      </c>
      <c r="W120">
        <f t="shared" si="14"/>
        <v>0.1</v>
      </c>
      <c r="X120">
        <f t="shared" si="15"/>
        <v>2</v>
      </c>
      <c r="Y120">
        <f t="shared" si="16"/>
        <v>86</v>
      </c>
      <c r="Z120" t="str">
        <f t="shared" si="17"/>
        <v>Kristina Haynes</v>
      </c>
      <c r="AA120" s="1" t="str">
        <f t="shared" si="18"/>
        <v>Before Time</v>
      </c>
      <c r="AB120" t="str">
        <f t="shared" si="19"/>
        <v>Sep</v>
      </c>
      <c r="AC120" s="9">
        <f t="shared" si="20"/>
        <v>2023</v>
      </c>
      <c r="AD120" t="str">
        <f t="shared" si="21"/>
        <v>yahoo.com</v>
      </c>
    </row>
    <row r="121" spans="1:30" x14ac:dyDescent="0.3">
      <c r="A121" t="s">
        <v>75</v>
      </c>
      <c r="B121" t="s">
        <v>168</v>
      </c>
      <c r="C121" t="s">
        <v>253</v>
      </c>
      <c r="D121">
        <v>32</v>
      </c>
      <c r="E121" t="s">
        <v>288</v>
      </c>
      <c r="F121" t="s">
        <v>293</v>
      </c>
      <c r="G121" t="s">
        <v>356</v>
      </c>
      <c r="H121" t="s">
        <v>456</v>
      </c>
      <c r="I121" t="s">
        <v>572</v>
      </c>
      <c r="J121" s="1">
        <v>45106</v>
      </c>
      <c r="K121" t="s">
        <v>1072</v>
      </c>
      <c r="L121" t="s">
        <v>1513</v>
      </c>
      <c r="M121">
        <v>20.7</v>
      </c>
      <c r="N121">
        <v>2</v>
      </c>
      <c r="O121" t="s">
        <v>1547</v>
      </c>
      <c r="P121">
        <v>7</v>
      </c>
      <c r="Q121">
        <v>43</v>
      </c>
      <c r="R121" s="1">
        <v>45107</v>
      </c>
      <c r="S121" t="s">
        <v>1624</v>
      </c>
      <c r="T121">
        <f t="shared" si="11"/>
        <v>1</v>
      </c>
      <c r="U121">
        <f t="shared" si="12"/>
        <v>41.4</v>
      </c>
      <c r="V121">
        <f t="shared" si="13"/>
        <v>41.4</v>
      </c>
      <c r="W121">
        <f t="shared" si="14"/>
        <v>0</v>
      </c>
      <c r="X121">
        <f t="shared" si="15"/>
        <v>0</v>
      </c>
      <c r="Y121">
        <f t="shared" si="16"/>
        <v>41.4</v>
      </c>
      <c r="Z121" t="str">
        <f t="shared" si="17"/>
        <v>Lindsey Byrd</v>
      </c>
      <c r="AA121" s="1" t="str">
        <f t="shared" si="18"/>
        <v>Before Time</v>
      </c>
      <c r="AB121" t="str">
        <f t="shared" si="19"/>
        <v>Jun</v>
      </c>
      <c r="AC121" s="9">
        <f t="shared" si="20"/>
        <v>2023</v>
      </c>
      <c r="AD121" t="str">
        <f t="shared" si="21"/>
        <v>rediffmail.com</v>
      </c>
    </row>
    <row r="122" spans="1:30" x14ac:dyDescent="0.3">
      <c r="A122" t="s">
        <v>32</v>
      </c>
      <c r="B122" t="s">
        <v>132</v>
      </c>
      <c r="C122" t="s">
        <v>214</v>
      </c>
      <c r="D122">
        <v>24</v>
      </c>
      <c r="E122" t="s">
        <v>288</v>
      </c>
      <c r="F122" t="s">
        <v>293</v>
      </c>
      <c r="G122" t="s">
        <v>313</v>
      </c>
      <c r="H122" t="s">
        <v>413</v>
      </c>
      <c r="I122" t="s">
        <v>619</v>
      </c>
      <c r="J122" s="1">
        <v>45003</v>
      </c>
      <c r="K122" t="s">
        <v>1119</v>
      </c>
      <c r="L122" t="s">
        <v>1543</v>
      </c>
      <c r="M122">
        <v>381.73</v>
      </c>
      <c r="N122">
        <v>2</v>
      </c>
      <c r="O122" t="s">
        <v>1547</v>
      </c>
      <c r="P122">
        <v>6</v>
      </c>
      <c r="Q122">
        <v>41</v>
      </c>
      <c r="R122" s="1">
        <v>45008</v>
      </c>
      <c r="S122" t="s">
        <v>1671</v>
      </c>
      <c r="T122">
        <f t="shared" si="11"/>
        <v>5</v>
      </c>
      <c r="U122">
        <f t="shared" si="12"/>
        <v>763.46</v>
      </c>
      <c r="V122">
        <f t="shared" si="13"/>
        <v>763.46</v>
      </c>
      <c r="W122">
        <f t="shared" si="14"/>
        <v>0</v>
      </c>
      <c r="X122">
        <f t="shared" si="15"/>
        <v>0</v>
      </c>
      <c r="Y122">
        <f t="shared" si="16"/>
        <v>763.46</v>
      </c>
      <c r="Z122" t="str">
        <f t="shared" si="17"/>
        <v>Joshua Campbell</v>
      </c>
      <c r="AA122" s="1" t="str">
        <f t="shared" si="18"/>
        <v>Before Time</v>
      </c>
      <c r="AB122" t="str">
        <f t="shared" si="19"/>
        <v>Mar</v>
      </c>
      <c r="AC122" s="9">
        <f t="shared" si="20"/>
        <v>2023</v>
      </c>
      <c r="AD122" t="str">
        <f t="shared" si="21"/>
        <v>gmail.com</v>
      </c>
    </row>
    <row r="123" spans="1:30" x14ac:dyDescent="0.3">
      <c r="A123" t="s">
        <v>48</v>
      </c>
      <c r="B123" t="s">
        <v>146</v>
      </c>
      <c r="C123" t="s">
        <v>229</v>
      </c>
      <c r="D123">
        <v>48</v>
      </c>
      <c r="E123" t="s">
        <v>289</v>
      </c>
      <c r="F123" t="s">
        <v>296</v>
      </c>
      <c r="G123" t="s">
        <v>329</v>
      </c>
      <c r="H123" t="s">
        <v>429</v>
      </c>
      <c r="I123" t="s">
        <v>620</v>
      </c>
      <c r="J123" s="1">
        <v>45499</v>
      </c>
      <c r="K123" t="s">
        <v>1120</v>
      </c>
      <c r="L123" t="s">
        <v>1525</v>
      </c>
      <c r="M123">
        <v>481.48</v>
      </c>
      <c r="N123">
        <v>1</v>
      </c>
      <c r="O123" t="s">
        <v>2047</v>
      </c>
      <c r="P123">
        <v>1</v>
      </c>
      <c r="Q123">
        <v>69</v>
      </c>
      <c r="R123" s="1">
        <v>45503</v>
      </c>
      <c r="S123" t="s">
        <v>1672</v>
      </c>
      <c r="T123">
        <f t="shared" si="11"/>
        <v>4</v>
      </c>
      <c r="U123">
        <f t="shared" si="12"/>
        <v>481.48</v>
      </c>
      <c r="V123">
        <f t="shared" si="13"/>
        <v>550.48</v>
      </c>
      <c r="W123">
        <f t="shared" si="14"/>
        <v>0.08</v>
      </c>
      <c r="X123">
        <f t="shared" si="15"/>
        <v>38.5184</v>
      </c>
      <c r="Y123">
        <f t="shared" si="16"/>
        <v>511.96160000000003</v>
      </c>
      <c r="Z123" t="str">
        <f t="shared" si="17"/>
        <v>Heather Schneider</v>
      </c>
      <c r="AA123" s="1" t="str">
        <f t="shared" si="18"/>
        <v>Late</v>
      </c>
      <c r="AB123" t="str">
        <f t="shared" si="19"/>
        <v>Jul</v>
      </c>
      <c r="AC123" s="9">
        <f t="shared" si="20"/>
        <v>2024</v>
      </c>
      <c r="AD123" t="str">
        <f t="shared" si="21"/>
        <v>outlook.com</v>
      </c>
    </row>
    <row r="124" spans="1:30" x14ac:dyDescent="0.3">
      <c r="A124" t="s">
        <v>42</v>
      </c>
      <c r="B124" t="s">
        <v>140</v>
      </c>
      <c r="C124" t="s">
        <v>223</v>
      </c>
      <c r="D124">
        <v>51</v>
      </c>
      <c r="E124" t="s">
        <v>290</v>
      </c>
      <c r="F124" t="s">
        <v>294</v>
      </c>
      <c r="G124" t="s">
        <v>323</v>
      </c>
      <c r="H124" t="s">
        <v>423</v>
      </c>
      <c r="I124" t="s">
        <v>769</v>
      </c>
      <c r="J124" s="1">
        <v>45335</v>
      </c>
      <c r="K124" t="s">
        <v>1269</v>
      </c>
      <c r="L124" t="s">
        <v>1527</v>
      </c>
      <c r="M124">
        <v>77.84</v>
      </c>
      <c r="N124">
        <v>2</v>
      </c>
      <c r="O124" t="s">
        <v>2047</v>
      </c>
      <c r="P124">
        <v>6</v>
      </c>
      <c r="Q124">
        <v>36</v>
      </c>
      <c r="R124" s="1">
        <v>45341</v>
      </c>
      <c r="S124" t="s">
        <v>1820</v>
      </c>
      <c r="T124">
        <f t="shared" si="11"/>
        <v>6</v>
      </c>
      <c r="U124">
        <f t="shared" si="12"/>
        <v>155.68</v>
      </c>
      <c r="V124">
        <f t="shared" si="13"/>
        <v>191.68</v>
      </c>
      <c r="W124">
        <f t="shared" si="14"/>
        <v>0.08</v>
      </c>
      <c r="X124">
        <f t="shared" si="15"/>
        <v>12.454400000000001</v>
      </c>
      <c r="Y124">
        <f t="shared" si="16"/>
        <v>179.22560000000001</v>
      </c>
      <c r="Z124" t="str">
        <f t="shared" si="17"/>
        <v>Jason Nguyen</v>
      </c>
      <c r="AA124" s="1" t="str">
        <f t="shared" si="18"/>
        <v>In Time</v>
      </c>
      <c r="AB124" t="str">
        <f t="shared" si="19"/>
        <v>Feb</v>
      </c>
      <c r="AC124" s="9">
        <f t="shared" si="20"/>
        <v>2024</v>
      </c>
      <c r="AD124" t="str">
        <f t="shared" si="21"/>
        <v>yahoo.com</v>
      </c>
    </row>
    <row r="125" spans="1:30" x14ac:dyDescent="0.3">
      <c r="A125" t="s">
        <v>58</v>
      </c>
      <c r="B125" t="s">
        <v>140</v>
      </c>
      <c r="C125" t="s">
        <v>239</v>
      </c>
      <c r="D125">
        <v>40</v>
      </c>
      <c r="E125" t="s">
        <v>290</v>
      </c>
      <c r="F125" t="s">
        <v>297</v>
      </c>
      <c r="G125" t="s">
        <v>339</v>
      </c>
      <c r="H125" t="s">
        <v>439</v>
      </c>
      <c r="I125" t="s">
        <v>622</v>
      </c>
      <c r="J125" s="1">
        <v>45186</v>
      </c>
      <c r="K125" t="s">
        <v>1122</v>
      </c>
      <c r="L125" t="s">
        <v>1533</v>
      </c>
      <c r="M125">
        <v>136.30000000000001</v>
      </c>
      <c r="N125">
        <v>1</v>
      </c>
      <c r="O125" t="s">
        <v>1550</v>
      </c>
      <c r="P125">
        <v>4</v>
      </c>
      <c r="Q125">
        <v>41</v>
      </c>
      <c r="R125" s="1">
        <v>45189</v>
      </c>
      <c r="S125" t="s">
        <v>1674</v>
      </c>
      <c r="T125">
        <f t="shared" si="11"/>
        <v>3</v>
      </c>
      <c r="U125">
        <f t="shared" si="12"/>
        <v>136.30000000000001</v>
      </c>
      <c r="V125">
        <f t="shared" si="13"/>
        <v>177.3</v>
      </c>
      <c r="W125">
        <f t="shared" si="14"/>
        <v>0.2</v>
      </c>
      <c r="X125">
        <f t="shared" si="15"/>
        <v>27.260000000000005</v>
      </c>
      <c r="Y125">
        <f t="shared" si="16"/>
        <v>150.04000000000002</v>
      </c>
      <c r="Z125" t="str">
        <f t="shared" si="17"/>
        <v>Jason Lopez</v>
      </c>
      <c r="AA125" s="1" t="str">
        <f t="shared" si="18"/>
        <v>Before Time</v>
      </c>
      <c r="AB125" t="str">
        <f t="shared" si="19"/>
        <v>Sep</v>
      </c>
      <c r="AC125" s="9">
        <f t="shared" si="20"/>
        <v>2023</v>
      </c>
      <c r="AD125" t="str">
        <f t="shared" si="21"/>
        <v>outlook.com</v>
      </c>
    </row>
    <row r="126" spans="1:30" x14ac:dyDescent="0.3">
      <c r="A126" t="s">
        <v>21</v>
      </c>
      <c r="B126" t="s">
        <v>121</v>
      </c>
      <c r="C126" t="s">
        <v>203</v>
      </c>
      <c r="D126">
        <v>28</v>
      </c>
      <c r="E126" t="s">
        <v>290</v>
      </c>
      <c r="F126" t="s">
        <v>294</v>
      </c>
      <c r="G126" t="s">
        <v>302</v>
      </c>
      <c r="H126" t="s">
        <v>402</v>
      </c>
      <c r="I126" t="s">
        <v>828</v>
      </c>
      <c r="J126" s="1">
        <v>45213</v>
      </c>
      <c r="K126" t="s">
        <v>1328</v>
      </c>
      <c r="L126" t="s">
        <v>1540</v>
      </c>
      <c r="M126">
        <v>424.82</v>
      </c>
      <c r="N126">
        <v>3</v>
      </c>
      <c r="O126" t="s">
        <v>2047</v>
      </c>
      <c r="P126">
        <v>2</v>
      </c>
      <c r="Q126">
        <v>67</v>
      </c>
      <c r="R126" s="1">
        <v>45215</v>
      </c>
      <c r="S126" t="s">
        <v>1879</v>
      </c>
      <c r="T126">
        <f t="shared" si="11"/>
        <v>2</v>
      </c>
      <c r="U126">
        <f t="shared" si="12"/>
        <v>1274.46</v>
      </c>
      <c r="V126">
        <f t="shared" si="13"/>
        <v>1341.46</v>
      </c>
      <c r="W126">
        <f t="shared" si="14"/>
        <v>0.08</v>
      </c>
      <c r="X126">
        <f t="shared" si="15"/>
        <v>101.9568</v>
      </c>
      <c r="Y126">
        <f t="shared" si="16"/>
        <v>1239.5032000000001</v>
      </c>
      <c r="Z126" t="str">
        <f t="shared" si="17"/>
        <v>John Ramirez</v>
      </c>
      <c r="AA126" s="1" t="str">
        <f t="shared" si="18"/>
        <v>In Time</v>
      </c>
      <c r="AB126" t="str">
        <f t="shared" si="19"/>
        <v>Oct</v>
      </c>
      <c r="AC126" s="9">
        <f t="shared" si="20"/>
        <v>2023</v>
      </c>
      <c r="AD126" t="str">
        <f t="shared" si="21"/>
        <v>outlook.com</v>
      </c>
    </row>
    <row r="127" spans="1:30" x14ac:dyDescent="0.3">
      <c r="A127" t="s">
        <v>36</v>
      </c>
      <c r="B127" t="s">
        <v>136</v>
      </c>
      <c r="C127" t="s">
        <v>217</v>
      </c>
      <c r="D127">
        <v>34</v>
      </c>
      <c r="E127" t="s">
        <v>288</v>
      </c>
      <c r="F127" t="s">
        <v>296</v>
      </c>
      <c r="G127" t="s">
        <v>317</v>
      </c>
      <c r="H127" t="s">
        <v>417</v>
      </c>
      <c r="I127" t="s">
        <v>624</v>
      </c>
      <c r="J127" s="1">
        <v>45667</v>
      </c>
      <c r="K127" t="s">
        <v>1124</v>
      </c>
      <c r="L127" t="s">
        <v>1533</v>
      </c>
      <c r="M127">
        <v>136.30000000000001</v>
      </c>
      <c r="N127">
        <v>2</v>
      </c>
      <c r="O127" t="s">
        <v>1549</v>
      </c>
      <c r="P127">
        <v>3</v>
      </c>
      <c r="Q127">
        <v>68</v>
      </c>
      <c r="R127" s="1">
        <v>45674</v>
      </c>
      <c r="S127" t="s">
        <v>1676</v>
      </c>
      <c r="T127">
        <f t="shared" si="11"/>
        <v>7</v>
      </c>
      <c r="U127">
        <f t="shared" si="12"/>
        <v>272.60000000000002</v>
      </c>
      <c r="V127">
        <f t="shared" si="13"/>
        <v>340.6</v>
      </c>
      <c r="W127">
        <f t="shared" si="14"/>
        <v>0.1</v>
      </c>
      <c r="X127">
        <f t="shared" si="15"/>
        <v>27.260000000000005</v>
      </c>
      <c r="Y127">
        <f t="shared" si="16"/>
        <v>313.34000000000003</v>
      </c>
      <c r="Z127" t="str">
        <f t="shared" si="17"/>
        <v>Traci Jones</v>
      </c>
      <c r="AA127" s="1" t="str">
        <f t="shared" si="18"/>
        <v>Late</v>
      </c>
      <c r="AB127" t="str">
        <f t="shared" si="19"/>
        <v>Jan</v>
      </c>
      <c r="AC127" s="9">
        <f t="shared" si="20"/>
        <v>2025</v>
      </c>
      <c r="AD127" t="str">
        <f t="shared" si="21"/>
        <v>yahoo.com</v>
      </c>
    </row>
    <row r="128" spans="1:30" x14ac:dyDescent="0.3">
      <c r="A128" t="s">
        <v>31</v>
      </c>
      <c r="B128" t="s">
        <v>131</v>
      </c>
      <c r="C128" t="s">
        <v>213</v>
      </c>
      <c r="D128">
        <v>44</v>
      </c>
      <c r="E128" t="s">
        <v>289</v>
      </c>
      <c r="F128" t="s">
        <v>296</v>
      </c>
      <c r="G128" t="s">
        <v>312</v>
      </c>
      <c r="H128" t="s">
        <v>412</v>
      </c>
      <c r="I128" t="s">
        <v>625</v>
      </c>
      <c r="J128" s="1">
        <v>45636</v>
      </c>
      <c r="K128" t="s">
        <v>1125</v>
      </c>
      <c r="L128" t="s">
        <v>1528</v>
      </c>
      <c r="M128">
        <v>431.44</v>
      </c>
      <c r="N128">
        <v>4</v>
      </c>
      <c r="O128" t="s">
        <v>1548</v>
      </c>
      <c r="P128">
        <v>2</v>
      </c>
      <c r="Q128">
        <v>66</v>
      </c>
      <c r="R128" s="1">
        <v>45637</v>
      </c>
      <c r="S128" t="s">
        <v>1677</v>
      </c>
      <c r="T128">
        <f t="shared" si="11"/>
        <v>1</v>
      </c>
      <c r="U128">
        <f t="shared" si="12"/>
        <v>1725.76</v>
      </c>
      <c r="V128">
        <f t="shared" si="13"/>
        <v>1791.76</v>
      </c>
      <c r="W128">
        <f t="shared" si="14"/>
        <v>0.15</v>
      </c>
      <c r="X128">
        <f t="shared" si="15"/>
        <v>258.86399999999998</v>
      </c>
      <c r="Y128">
        <f t="shared" si="16"/>
        <v>1532.896</v>
      </c>
      <c r="Z128" t="str">
        <f t="shared" si="17"/>
        <v>Amy Reid</v>
      </c>
      <c r="AA128" s="1" t="str">
        <f t="shared" si="18"/>
        <v>Before Time</v>
      </c>
      <c r="AB128" t="str">
        <f t="shared" si="19"/>
        <v>Dec</v>
      </c>
      <c r="AC128" s="9">
        <f t="shared" si="20"/>
        <v>2024</v>
      </c>
      <c r="AD128" t="str">
        <f t="shared" si="21"/>
        <v>rediffmail.com</v>
      </c>
    </row>
    <row r="129" spans="1:30" x14ac:dyDescent="0.3">
      <c r="A129" t="s">
        <v>86</v>
      </c>
      <c r="B129" t="s">
        <v>176</v>
      </c>
      <c r="C129" t="s">
        <v>263</v>
      </c>
      <c r="D129">
        <v>26</v>
      </c>
      <c r="E129" t="s">
        <v>290</v>
      </c>
      <c r="F129" t="s">
        <v>295</v>
      </c>
      <c r="G129" t="s">
        <v>367</v>
      </c>
      <c r="H129" t="s">
        <v>467</v>
      </c>
      <c r="I129" t="s">
        <v>626</v>
      </c>
      <c r="J129" s="1">
        <v>45450</v>
      </c>
      <c r="K129" t="s">
        <v>1126</v>
      </c>
      <c r="L129" t="s">
        <v>1515</v>
      </c>
      <c r="M129">
        <v>132.97</v>
      </c>
      <c r="N129">
        <v>5</v>
      </c>
      <c r="O129" t="s">
        <v>1550</v>
      </c>
      <c r="P129">
        <v>3</v>
      </c>
      <c r="Q129">
        <v>45</v>
      </c>
      <c r="R129" s="1">
        <v>45452</v>
      </c>
      <c r="S129" t="s">
        <v>1678</v>
      </c>
      <c r="T129">
        <f t="shared" si="11"/>
        <v>2</v>
      </c>
      <c r="U129">
        <f t="shared" si="12"/>
        <v>664.85</v>
      </c>
      <c r="V129">
        <f t="shared" si="13"/>
        <v>709.85</v>
      </c>
      <c r="W129">
        <f t="shared" si="14"/>
        <v>0.2</v>
      </c>
      <c r="X129">
        <f t="shared" si="15"/>
        <v>132.97</v>
      </c>
      <c r="Y129">
        <f t="shared" si="16"/>
        <v>576.88</v>
      </c>
      <c r="Z129" t="str">
        <f t="shared" si="17"/>
        <v>Gregory Lee</v>
      </c>
      <c r="AA129" s="1" t="str">
        <f t="shared" si="18"/>
        <v>Before Time</v>
      </c>
      <c r="AB129" t="str">
        <f t="shared" si="19"/>
        <v>Jun</v>
      </c>
      <c r="AC129" s="9">
        <f t="shared" si="20"/>
        <v>2024</v>
      </c>
      <c r="AD129" t="str">
        <f t="shared" si="21"/>
        <v>rediffmail.com</v>
      </c>
    </row>
    <row r="130" spans="1:30" x14ac:dyDescent="0.3">
      <c r="A130" t="s">
        <v>42</v>
      </c>
      <c r="B130" t="s">
        <v>140</v>
      </c>
      <c r="C130" t="s">
        <v>223</v>
      </c>
      <c r="D130">
        <v>51</v>
      </c>
      <c r="E130" t="s">
        <v>290</v>
      </c>
      <c r="F130" t="s">
        <v>294</v>
      </c>
      <c r="G130" t="s">
        <v>323</v>
      </c>
      <c r="H130" t="s">
        <v>423</v>
      </c>
      <c r="I130" t="s">
        <v>776</v>
      </c>
      <c r="J130" s="1">
        <v>45598</v>
      </c>
      <c r="K130" t="s">
        <v>1276</v>
      </c>
      <c r="L130" t="s">
        <v>1511</v>
      </c>
      <c r="M130">
        <v>272.51</v>
      </c>
      <c r="N130">
        <v>4</v>
      </c>
      <c r="O130" t="s">
        <v>1547</v>
      </c>
      <c r="P130">
        <v>2</v>
      </c>
      <c r="Q130">
        <v>42</v>
      </c>
      <c r="R130" s="1">
        <v>45599</v>
      </c>
      <c r="S130" t="s">
        <v>1827</v>
      </c>
      <c r="T130">
        <f t="shared" si="11"/>
        <v>1</v>
      </c>
      <c r="U130">
        <f t="shared" si="12"/>
        <v>1090.04</v>
      </c>
      <c r="V130">
        <f t="shared" si="13"/>
        <v>1090.04</v>
      </c>
      <c r="W130">
        <f t="shared" si="14"/>
        <v>0</v>
      </c>
      <c r="X130">
        <f t="shared" si="15"/>
        <v>0</v>
      </c>
      <c r="Y130">
        <f t="shared" si="16"/>
        <v>1090.04</v>
      </c>
      <c r="Z130" t="str">
        <f t="shared" si="17"/>
        <v>Jason Nguyen</v>
      </c>
      <c r="AA130" s="1" t="str">
        <f t="shared" si="18"/>
        <v>Before Time</v>
      </c>
      <c r="AB130" t="str">
        <f t="shared" si="19"/>
        <v>Nov</v>
      </c>
      <c r="AC130" s="9">
        <f t="shared" si="20"/>
        <v>2024</v>
      </c>
      <c r="AD130" t="str">
        <f t="shared" si="21"/>
        <v>yahoo.com</v>
      </c>
    </row>
    <row r="131" spans="1:30" x14ac:dyDescent="0.3">
      <c r="A131" t="s">
        <v>19</v>
      </c>
      <c r="B131" t="s">
        <v>119</v>
      </c>
      <c r="C131" t="s">
        <v>154</v>
      </c>
      <c r="D131">
        <v>53</v>
      </c>
      <c r="E131" t="s">
        <v>289</v>
      </c>
      <c r="F131" t="s">
        <v>292</v>
      </c>
      <c r="G131" t="s">
        <v>300</v>
      </c>
      <c r="H131" t="s">
        <v>400</v>
      </c>
      <c r="I131" t="s">
        <v>628</v>
      </c>
      <c r="J131" s="1">
        <v>45589</v>
      </c>
      <c r="K131" t="s">
        <v>1128</v>
      </c>
      <c r="L131" t="s">
        <v>1502</v>
      </c>
      <c r="M131">
        <v>202.54</v>
      </c>
      <c r="N131">
        <v>2</v>
      </c>
      <c r="O131" t="s">
        <v>1550</v>
      </c>
      <c r="P131">
        <v>6</v>
      </c>
      <c r="Q131">
        <v>70</v>
      </c>
      <c r="R131" s="1">
        <v>45594</v>
      </c>
      <c r="S131" t="s">
        <v>1680</v>
      </c>
      <c r="T131">
        <f t="shared" ref="T131:T194" si="22">R131-J131</f>
        <v>5</v>
      </c>
      <c r="U131">
        <f t="shared" ref="U131:U194" si="23">M131*N131</f>
        <v>405.08</v>
      </c>
      <c r="V131">
        <f t="shared" ref="V131:V194" si="24">IF(O131="DEL0",U131,U131+Q131)</f>
        <v>475.08</v>
      </c>
      <c r="W131">
        <f t="shared" ref="W131:W194" si="25">IF(O131="FLAT8",8%,IF(O131="FLAT10",10%,IF(O131="FLAT15",15%,IF(O131="FLAT20",20%,0))))</f>
        <v>0.2</v>
      </c>
      <c r="X131">
        <f t="shared" ref="X131:X194" si="26">U131*W131</f>
        <v>81.016000000000005</v>
      </c>
      <c r="Y131">
        <f t="shared" ref="Y131:Y194" si="27">V131-X131</f>
        <v>394.06399999999996</v>
      </c>
      <c r="Z131" t="str">
        <f t="shared" ref="Z131:Z194" si="28">B131&amp;" "&amp;C131</f>
        <v>Anthony Thomas</v>
      </c>
      <c r="AA131" s="1" t="str">
        <f t="shared" ref="AA131:AA194" si="29">IF(R131&lt;(J131+P131),"Before Time",IF(R131=(J131+P131),"In Time","Late"))</f>
        <v>Before Time</v>
      </c>
      <c r="AB131" t="str">
        <f t="shared" ref="AB131:AB194" si="30">TEXT(J131,"MMM")</f>
        <v>Oct</v>
      </c>
      <c r="AC131" s="9">
        <f t="shared" ref="AC131:AC194" si="31">YEAR(J131)</f>
        <v>2024</v>
      </c>
      <c r="AD131" t="str">
        <f t="shared" ref="AD131:AD194" si="32">RIGHT(G131,LEN(G131)-FIND("@",G131))</f>
        <v>rediffmail.com</v>
      </c>
    </row>
    <row r="132" spans="1:30" x14ac:dyDescent="0.3">
      <c r="A132" t="s">
        <v>26</v>
      </c>
      <c r="B132" t="s">
        <v>126</v>
      </c>
      <c r="C132" t="s">
        <v>208</v>
      </c>
      <c r="D132">
        <v>39</v>
      </c>
      <c r="E132" t="s">
        <v>288</v>
      </c>
      <c r="F132" t="s">
        <v>291</v>
      </c>
      <c r="G132" t="s">
        <v>307</v>
      </c>
      <c r="H132" t="s">
        <v>407</v>
      </c>
      <c r="I132" t="s">
        <v>629</v>
      </c>
      <c r="J132" s="1">
        <v>45689</v>
      </c>
      <c r="K132" t="s">
        <v>1129</v>
      </c>
      <c r="L132" t="s">
        <v>1533</v>
      </c>
      <c r="M132">
        <v>136.30000000000001</v>
      </c>
      <c r="N132">
        <v>2</v>
      </c>
      <c r="O132" t="s">
        <v>1549</v>
      </c>
      <c r="P132">
        <v>2</v>
      </c>
      <c r="Q132">
        <v>51</v>
      </c>
      <c r="R132" s="1">
        <v>45694</v>
      </c>
      <c r="S132" t="s">
        <v>1681</v>
      </c>
      <c r="T132">
        <f t="shared" si="22"/>
        <v>5</v>
      </c>
      <c r="U132">
        <f t="shared" si="23"/>
        <v>272.60000000000002</v>
      </c>
      <c r="V132">
        <f t="shared" si="24"/>
        <v>323.60000000000002</v>
      </c>
      <c r="W132">
        <f t="shared" si="25"/>
        <v>0.1</v>
      </c>
      <c r="X132">
        <f t="shared" si="26"/>
        <v>27.260000000000005</v>
      </c>
      <c r="Y132">
        <f t="shared" si="27"/>
        <v>296.34000000000003</v>
      </c>
      <c r="Z132" t="str">
        <f t="shared" si="28"/>
        <v>Marcus Valenzuela</v>
      </c>
      <c r="AA132" s="1" t="str">
        <f t="shared" si="29"/>
        <v>Late</v>
      </c>
      <c r="AB132" t="str">
        <f t="shared" si="30"/>
        <v>Feb</v>
      </c>
      <c r="AC132" s="9">
        <f t="shared" si="31"/>
        <v>2025</v>
      </c>
      <c r="AD132" t="str">
        <f t="shared" si="32"/>
        <v>yahoo.com</v>
      </c>
    </row>
    <row r="133" spans="1:30" x14ac:dyDescent="0.3">
      <c r="A133" t="s">
        <v>40</v>
      </c>
      <c r="B133" t="s">
        <v>121</v>
      </c>
      <c r="C133" t="s">
        <v>221</v>
      </c>
      <c r="D133">
        <v>64</v>
      </c>
      <c r="E133" t="s">
        <v>289</v>
      </c>
      <c r="F133" t="s">
        <v>292</v>
      </c>
      <c r="G133" t="s">
        <v>321</v>
      </c>
      <c r="H133" t="s">
        <v>421</v>
      </c>
      <c r="I133" t="s">
        <v>630</v>
      </c>
      <c r="J133" s="1">
        <v>45094</v>
      </c>
      <c r="K133" t="s">
        <v>1130</v>
      </c>
      <c r="L133" t="s">
        <v>1536</v>
      </c>
      <c r="M133">
        <v>403.03</v>
      </c>
      <c r="N133">
        <v>5</v>
      </c>
      <c r="O133" t="s">
        <v>1547</v>
      </c>
      <c r="P133">
        <v>7</v>
      </c>
      <c r="Q133">
        <v>52</v>
      </c>
      <c r="R133" s="1">
        <v>45097</v>
      </c>
      <c r="S133" t="s">
        <v>1682</v>
      </c>
      <c r="T133">
        <f t="shared" si="22"/>
        <v>3</v>
      </c>
      <c r="U133">
        <f t="shared" si="23"/>
        <v>2015.1499999999999</v>
      </c>
      <c r="V133">
        <f t="shared" si="24"/>
        <v>2015.1499999999999</v>
      </c>
      <c r="W133">
        <f t="shared" si="25"/>
        <v>0</v>
      </c>
      <c r="X133">
        <f t="shared" si="26"/>
        <v>0</v>
      </c>
      <c r="Y133">
        <f t="shared" si="27"/>
        <v>2015.1499999999999</v>
      </c>
      <c r="Z133" t="str">
        <f t="shared" si="28"/>
        <v>John Herrera</v>
      </c>
      <c r="AA133" s="1" t="str">
        <f t="shared" si="29"/>
        <v>Before Time</v>
      </c>
      <c r="AB133" t="str">
        <f t="shared" si="30"/>
        <v>Jun</v>
      </c>
      <c r="AC133" s="9">
        <f t="shared" si="31"/>
        <v>2023</v>
      </c>
      <c r="AD133" t="str">
        <f t="shared" si="32"/>
        <v>outlook.com</v>
      </c>
    </row>
    <row r="134" spans="1:30" x14ac:dyDescent="0.3">
      <c r="A134" t="s">
        <v>53</v>
      </c>
      <c r="B134" t="s">
        <v>151</v>
      </c>
      <c r="C134" t="s">
        <v>234</v>
      </c>
      <c r="D134">
        <v>70</v>
      </c>
      <c r="E134" t="s">
        <v>288</v>
      </c>
      <c r="F134" t="s">
        <v>297</v>
      </c>
      <c r="G134" t="s">
        <v>334</v>
      </c>
      <c r="H134" t="s">
        <v>434</v>
      </c>
      <c r="I134" t="s">
        <v>631</v>
      </c>
      <c r="J134" s="1">
        <v>45281</v>
      </c>
      <c r="K134" t="s">
        <v>1131</v>
      </c>
      <c r="L134" t="s">
        <v>1536</v>
      </c>
      <c r="M134">
        <v>403.03</v>
      </c>
      <c r="N134">
        <v>4</v>
      </c>
      <c r="O134" t="s">
        <v>1549</v>
      </c>
      <c r="P134">
        <v>6</v>
      </c>
      <c r="Q134">
        <v>47</v>
      </c>
      <c r="R134" s="1">
        <v>45283</v>
      </c>
      <c r="S134" t="s">
        <v>1683</v>
      </c>
      <c r="T134">
        <f t="shared" si="22"/>
        <v>2</v>
      </c>
      <c r="U134">
        <f t="shared" si="23"/>
        <v>1612.12</v>
      </c>
      <c r="V134">
        <f t="shared" si="24"/>
        <v>1659.12</v>
      </c>
      <c r="W134">
        <f t="shared" si="25"/>
        <v>0.1</v>
      </c>
      <c r="X134">
        <f t="shared" si="26"/>
        <v>161.21199999999999</v>
      </c>
      <c r="Y134">
        <f t="shared" si="27"/>
        <v>1497.9079999999999</v>
      </c>
      <c r="Z134" t="str">
        <f t="shared" si="28"/>
        <v>Donna Oneill</v>
      </c>
      <c r="AA134" s="1" t="str">
        <f t="shared" si="29"/>
        <v>Before Time</v>
      </c>
      <c r="AB134" t="str">
        <f t="shared" si="30"/>
        <v>Dec</v>
      </c>
      <c r="AC134" s="9">
        <f t="shared" si="31"/>
        <v>2023</v>
      </c>
      <c r="AD134" t="str">
        <f t="shared" si="32"/>
        <v>yahoo.com</v>
      </c>
    </row>
    <row r="135" spans="1:30" x14ac:dyDescent="0.3">
      <c r="A135" t="s">
        <v>94</v>
      </c>
      <c r="B135" t="s">
        <v>183</v>
      </c>
      <c r="C135" t="s">
        <v>270</v>
      </c>
      <c r="D135">
        <v>42</v>
      </c>
      <c r="E135" t="s">
        <v>288</v>
      </c>
      <c r="F135" t="s">
        <v>295</v>
      </c>
      <c r="G135" t="s">
        <v>375</v>
      </c>
      <c r="H135" t="s">
        <v>475</v>
      </c>
      <c r="I135" t="s">
        <v>632</v>
      </c>
      <c r="J135" s="1">
        <v>44979</v>
      </c>
      <c r="K135" t="s">
        <v>1132</v>
      </c>
      <c r="L135" t="s">
        <v>1509</v>
      </c>
      <c r="M135">
        <v>190.1</v>
      </c>
      <c r="N135">
        <v>5</v>
      </c>
      <c r="O135" t="s">
        <v>1550</v>
      </c>
      <c r="P135">
        <v>4</v>
      </c>
      <c r="Q135">
        <v>37</v>
      </c>
      <c r="R135" s="1">
        <v>44984</v>
      </c>
      <c r="S135" t="s">
        <v>1684</v>
      </c>
      <c r="T135">
        <f t="shared" si="22"/>
        <v>5</v>
      </c>
      <c r="U135">
        <f t="shared" si="23"/>
        <v>950.5</v>
      </c>
      <c r="V135">
        <f t="shared" si="24"/>
        <v>987.5</v>
      </c>
      <c r="W135">
        <f t="shared" si="25"/>
        <v>0.2</v>
      </c>
      <c r="X135">
        <f t="shared" si="26"/>
        <v>190.10000000000002</v>
      </c>
      <c r="Y135">
        <f t="shared" si="27"/>
        <v>797.4</v>
      </c>
      <c r="Z135" t="str">
        <f t="shared" si="28"/>
        <v>Edward Black</v>
      </c>
      <c r="AA135" s="1" t="str">
        <f t="shared" si="29"/>
        <v>Late</v>
      </c>
      <c r="AB135" t="str">
        <f t="shared" si="30"/>
        <v>Feb</v>
      </c>
      <c r="AC135" s="9">
        <f t="shared" si="31"/>
        <v>2023</v>
      </c>
      <c r="AD135" t="str">
        <f t="shared" si="32"/>
        <v>gmail.com</v>
      </c>
    </row>
    <row r="136" spans="1:30" x14ac:dyDescent="0.3">
      <c r="A136" t="s">
        <v>95</v>
      </c>
      <c r="B136" t="s">
        <v>184</v>
      </c>
      <c r="C136" t="s">
        <v>271</v>
      </c>
      <c r="D136">
        <v>60</v>
      </c>
      <c r="E136" t="s">
        <v>288</v>
      </c>
      <c r="F136" t="s">
        <v>294</v>
      </c>
      <c r="G136" t="s">
        <v>376</v>
      </c>
      <c r="H136" t="s">
        <v>476</v>
      </c>
      <c r="I136" t="s">
        <v>633</v>
      </c>
      <c r="J136" s="1">
        <v>45663</v>
      </c>
      <c r="K136" t="s">
        <v>1133</v>
      </c>
      <c r="L136" t="s">
        <v>1533</v>
      </c>
      <c r="M136">
        <v>136.30000000000001</v>
      </c>
      <c r="N136">
        <v>4</v>
      </c>
      <c r="O136" t="s">
        <v>1547</v>
      </c>
      <c r="P136">
        <v>5</v>
      </c>
      <c r="Q136">
        <v>61</v>
      </c>
      <c r="R136" s="1">
        <v>45668</v>
      </c>
      <c r="S136" t="s">
        <v>1685</v>
      </c>
      <c r="T136">
        <f t="shared" si="22"/>
        <v>5</v>
      </c>
      <c r="U136">
        <f t="shared" si="23"/>
        <v>545.20000000000005</v>
      </c>
      <c r="V136">
        <f t="shared" si="24"/>
        <v>545.20000000000005</v>
      </c>
      <c r="W136">
        <f t="shared" si="25"/>
        <v>0</v>
      </c>
      <c r="X136">
        <f t="shared" si="26"/>
        <v>0</v>
      </c>
      <c r="Y136">
        <f t="shared" si="27"/>
        <v>545.20000000000005</v>
      </c>
      <c r="Z136" t="str">
        <f t="shared" si="28"/>
        <v>James Brown</v>
      </c>
      <c r="AA136" s="1" t="str">
        <f t="shared" si="29"/>
        <v>In Time</v>
      </c>
      <c r="AB136" t="str">
        <f t="shared" si="30"/>
        <v>Jan</v>
      </c>
      <c r="AC136" s="9">
        <f t="shared" si="31"/>
        <v>2025</v>
      </c>
      <c r="AD136" t="str">
        <f t="shared" si="32"/>
        <v>yahoo.com</v>
      </c>
    </row>
    <row r="137" spans="1:30" x14ac:dyDescent="0.3">
      <c r="A137" t="s">
        <v>96</v>
      </c>
      <c r="B137" t="s">
        <v>185</v>
      </c>
      <c r="C137" t="s">
        <v>272</v>
      </c>
      <c r="D137">
        <v>26</v>
      </c>
      <c r="E137" t="s">
        <v>289</v>
      </c>
      <c r="F137" t="s">
        <v>293</v>
      </c>
      <c r="G137" t="s">
        <v>377</v>
      </c>
      <c r="H137" t="s">
        <v>477</v>
      </c>
      <c r="I137" t="s">
        <v>634</v>
      </c>
      <c r="J137" s="1">
        <v>45226</v>
      </c>
      <c r="K137" t="s">
        <v>1134</v>
      </c>
      <c r="L137" t="s">
        <v>1539</v>
      </c>
      <c r="M137">
        <v>235.63</v>
      </c>
      <c r="N137">
        <v>1</v>
      </c>
      <c r="O137" t="s">
        <v>1550</v>
      </c>
      <c r="P137">
        <v>2</v>
      </c>
      <c r="Q137">
        <v>66</v>
      </c>
      <c r="R137" s="1">
        <v>45233</v>
      </c>
      <c r="S137" t="s">
        <v>1686</v>
      </c>
      <c r="T137">
        <f t="shared" si="22"/>
        <v>7</v>
      </c>
      <c r="U137">
        <f t="shared" si="23"/>
        <v>235.63</v>
      </c>
      <c r="V137">
        <f t="shared" si="24"/>
        <v>301.63</v>
      </c>
      <c r="W137">
        <f t="shared" si="25"/>
        <v>0.2</v>
      </c>
      <c r="X137">
        <f t="shared" si="26"/>
        <v>47.126000000000005</v>
      </c>
      <c r="Y137">
        <f t="shared" si="27"/>
        <v>254.50399999999999</v>
      </c>
      <c r="Z137" t="str">
        <f t="shared" si="28"/>
        <v>Leslie Montgomery</v>
      </c>
      <c r="AA137" s="1" t="str">
        <f t="shared" si="29"/>
        <v>Late</v>
      </c>
      <c r="AB137" t="str">
        <f t="shared" si="30"/>
        <v>Oct</v>
      </c>
      <c r="AC137" s="9">
        <f t="shared" si="31"/>
        <v>2023</v>
      </c>
      <c r="AD137" t="str">
        <f t="shared" si="32"/>
        <v>gmail.com</v>
      </c>
    </row>
    <row r="138" spans="1:30" x14ac:dyDescent="0.3">
      <c r="A138" t="s">
        <v>97</v>
      </c>
      <c r="B138" t="s">
        <v>186</v>
      </c>
      <c r="C138" t="s">
        <v>238</v>
      </c>
      <c r="D138">
        <v>37</v>
      </c>
      <c r="E138" t="s">
        <v>290</v>
      </c>
      <c r="F138" t="s">
        <v>298</v>
      </c>
      <c r="G138" t="s">
        <v>378</v>
      </c>
      <c r="H138" t="s">
        <v>478</v>
      </c>
      <c r="I138" t="s">
        <v>635</v>
      </c>
      <c r="J138" s="1">
        <v>45249</v>
      </c>
      <c r="K138" t="s">
        <v>1135</v>
      </c>
      <c r="L138" t="s">
        <v>1538</v>
      </c>
      <c r="M138">
        <v>433.62</v>
      </c>
      <c r="N138">
        <v>4</v>
      </c>
      <c r="O138" t="s">
        <v>1550</v>
      </c>
      <c r="P138">
        <v>3</v>
      </c>
      <c r="Q138">
        <v>36</v>
      </c>
      <c r="R138" s="1">
        <v>45252</v>
      </c>
      <c r="S138" t="s">
        <v>1687</v>
      </c>
      <c r="T138">
        <f t="shared" si="22"/>
        <v>3</v>
      </c>
      <c r="U138">
        <f t="shared" si="23"/>
        <v>1734.48</v>
      </c>
      <c r="V138">
        <f t="shared" si="24"/>
        <v>1770.48</v>
      </c>
      <c r="W138">
        <f t="shared" si="25"/>
        <v>0.2</v>
      </c>
      <c r="X138">
        <f t="shared" si="26"/>
        <v>346.89600000000002</v>
      </c>
      <c r="Y138">
        <f t="shared" si="27"/>
        <v>1423.5840000000001</v>
      </c>
      <c r="Z138" t="str">
        <f t="shared" si="28"/>
        <v>Susan Thompson</v>
      </c>
      <c r="AA138" s="1" t="str">
        <f t="shared" si="29"/>
        <v>In Time</v>
      </c>
      <c r="AB138" t="str">
        <f t="shared" si="30"/>
        <v>Nov</v>
      </c>
      <c r="AC138" s="9">
        <f t="shared" si="31"/>
        <v>2023</v>
      </c>
      <c r="AD138" t="str">
        <f t="shared" si="32"/>
        <v>outlook.com</v>
      </c>
    </row>
    <row r="139" spans="1:30" x14ac:dyDescent="0.3">
      <c r="A139" t="s">
        <v>91</v>
      </c>
      <c r="B139" t="s">
        <v>180</v>
      </c>
      <c r="C139" t="s">
        <v>267</v>
      </c>
      <c r="D139">
        <v>43</v>
      </c>
      <c r="E139" t="s">
        <v>290</v>
      </c>
      <c r="F139" t="s">
        <v>293</v>
      </c>
      <c r="G139" t="s">
        <v>372</v>
      </c>
      <c r="H139" t="s">
        <v>472</v>
      </c>
      <c r="I139" t="s">
        <v>636</v>
      </c>
      <c r="J139" s="1">
        <v>45331</v>
      </c>
      <c r="K139" t="s">
        <v>1136</v>
      </c>
      <c r="L139" t="s">
        <v>1524</v>
      </c>
      <c r="M139">
        <v>157.63999999999999</v>
      </c>
      <c r="N139">
        <v>5</v>
      </c>
      <c r="O139" t="s">
        <v>1547</v>
      </c>
      <c r="P139">
        <v>7</v>
      </c>
      <c r="Q139">
        <v>36</v>
      </c>
      <c r="R139" s="1">
        <v>45332</v>
      </c>
      <c r="S139" t="s">
        <v>1688</v>
      </c>
      <c r="T139">
        <f t="shared" si="22"/>
        <v>1</v>
      </c>
      <c r="U139">
        <f t="shared" si="23"/>
        <v>788.19999999999993</v>
      </c>
      <c r="V139">
        <f t="shared" si="24"/>
        <v>788.19999999999993</v>
      </c>
      <c r="W139">
        <f t="shared" si="25"/>
        <v>0</v>
      </c>
      <c r="X139">
        <f t="shared" si="26"/>
        <v>0</v>
      </c>
      <c r="Y139">
        <f t="shared" si="27"/>
        <v>788.19999999999993</v>
      </c>
      <c r="Z139" t="str">
        <f t="shared" si="28"/>
        <v>Barbara Fuller</v>
      </c>
      <c r="AA139" s="1" t="str">
        <f t="shared" si="29"/>
        <v>Before Time</v>
      </c>
      <c r="AB139" t="str">
        <f t="shared" si="30"/>
        <v>Feb</v>
      </c>
      <c r="AC139" s="9">
        <f t="shared" si="31"/>
        <v>2024</v>
      </c>
      <c r="AD139" t="str">
        <f t="shared" si="32"/>
        <v>rediffmail.com</v>
      </c>
    </row>
    <row r="140" spans="1:30" x14ac:dyDescent="0.3">
      <c r="A140" t="s">
        <v>25</v>
      </c>
      <c r="B140" t="s">
        <v>125</v>
      </c>
      <c r="C140" t="s">
        <v>207</v>
      </c>
      <c r="D140">
        <v>26</v>
      </c>
      <c r="E140" t="s">
        <v>289</v>
      </c>
      <c r="F140" t="s">
        <v>296</v>
      </c>
      <c r="G140" t="s">
        <v>306</v>
      </c>
      <c r="H140" t="s">
        <v>406</v>
      </c>
      <c r="I140" t="s">
        <v>637</v>
      </c>
      <c r="J140" s="1">
        <v>45108</v>
      </c>
      <c r="K140" t="s">
        <v>1137</v>
      </c>
      <c r="L140" t="s">
        <v>1522</v>
      </c>
      <c r="M140">
        <v>158.53</v>
      </c>
      <c r="N140">
        <v>5</v>
      </c>
      <c r="O140" t="s">
        <v>1547</v>
      </c>
      <c r="P140">
        <v>4</v>
      </c>
      <c r="Q140">
        <v>66</v>
      </c>
      <c r="R140" s="1">
        <v>45111</v>
      </c>
      <c r="S140" t="s">
        <v>1689</v>
      </c>
      <c r="T140">
        <f t="shared" si="22"/>
        <v>3</v>
      </c>
      <c r="U140">
        <f t="shared" si="23"/>
        <v>792.65</v>
      </c>
      <c r="V140">
        <f t="shared" si="24"/>
        <v>792.65</v>
      </c>
      <c r="W140">
        <f t="shared" si="25"/>
        <v>0</v>
      </c>
      <c r="X140">
        <f t="shared" si="26"/>
        <v>0</v>
      </c>
      <c r="Y140">
        <f t="shared" si="27"/>
        <v>792.65</v>
      </c>
      <c r="Z140" t="str">
        <f t="shared" si="28"/>
        <v>David Delacruz</v>
      </c>
      <c r="AA140" s="1" t="str">
        <f t="shared" si="29"/>
        <v>Before Time</v>
      </c>
      <c r="AB140" t="str">
        <f t="shared" si="30"/>
        <v>Jul</v>
      </c>
      <c r="AC140" s="9">
        <f t="shared" si="31"/>
        <v>2023</v>
      </c>
      <c r="AD140" t="str">
        <f t="shared" si="32"/>
        <v>rediffmail.com</v>
      </c>
    </row>
    <row r="141" spans="1:30" x14ac:dyDescent="0.3">
      <c r="A141" t="s">
        <v>35</v>
      </c>
      <c r="B141" t="s">
        <v>135</v>
      </c>
      <c r="C141" t="s">
        <v>162</v>
      </c>
      <c r="D141">
        <v>42</v>
      </c>
      <c r="E141" t="s">
        <v>289</v>
      </c>
      <c r="F141" t="s">
        <v>297</v>
      </c>
      <c r="G141" t="s">
        <v>316</v>
      </c>
      <c r="H141" t="s">
        <v>416</v>
      </c>
      <c r="I141" t="s">
        <v>638</v>
      </c>
      <c r="J141" s="1">
        <v>45283</v>
      </c>
      <c r="K141" t="s">
        <v>1138</v>
      </c>
      <c r="L141" t="s">
        <v>1507</v>
      </c>
      <c r="M141">
        <v>257.06</v>
      </c>
      <c r="N141">
        <v>3</v>
      </c>
      <c r="O141" t="s">
        <v>2047</v>
      </c>
      <c r="P141">
        <v>6</v>
      </c>
      <c r="Q141">
        <v>65</v>
      </c>
      <c r="R141" s="1">
        <v>45289</v>
      </c>
      <c r="S141" t="s">
        <v>1690</v>
      </c>
      <c r="T141">
        <f t="shared" si="22"/>
        <v>6</v>
      </c>
      <c r="U141">
        <f t="shared" si="23"/>
        <v>771.18000000000006</v>
      </c>
      <c r="V141">
        <f t="shared" si="24"/>
        <v>836.18000000000006</v>
      </c>
      <c r="W141">
        <f t="shared" si="25"/>
        <v>0.08</v>
      </c>
      <c r="X141">
        <f t="shared" si="26"/>
        <v>61.694400000000009</v>
      </c>
      <c r="Y141">
        <f t="shared" si="27"/>
        <v>774.48560000000009</v>
      </c>
      <c r="Z141" t="str">
        <f t="shared" si="28"/>
        <v>Mallory Mitchell</v>
      </c>
      <c r="AA141" s="1" t="str">
        <f t="shared" si="29"/>
        <v>In Time</v>
      </c>
      <c r="AB141" t="str">
        <f t="shared" si="30"/>
        <v>Dec</v>
      </c>
      <c r="AC141" s="9">
        <f t="shared" si="31"/>
        <v>2023</v>
      </c>
      <c r="AD141" t="str">
        <f t="shared" si="32"/>
        <v>yahoo.com</v>
      </c>
    </row>
    <row r="142" spans="1:30" x14ac:dyDescent="0.3">
      <c r="A142" t="s">
        <v>75</v>
      </c>
      <c r="B142" t="s">
        <v>168</v>
      </c>
      <c r="C142" t="s">
        <v>253</v>
      </c>
      <c r="D142">
        <v>32</v>
      </c>
      <c r="E142" t="s">
        <v>288</v>
      </c>
      <c r="F142" t="s">
        <v>293</v>
      </c>
      <c r="G142" t="s">
        <v>356</v>
      </c>
      <c r="H142" t="s">
        <v>456</v>
      </c>
      <c r="I142" t="s">
        <v>573</v>
      </c>
      <c r="J142" s="1">
        <v>45537</v>
      </c>
      <c r="K142" t="s">
        <v>1073</v>
      </c>
      <c r="L142" t="s">
        <v>1521</v>
      </c>
      <c r="M142">
        <v>110.95</v>
      </c>
      <c r="N142">
        <v>4</v>
      </c>
      <c r="O142" t="s">
        <v>1548</v>
      </c>
      <c r="P142">
        <v>1</v>
      </c>
      <c r="Q142">
        <v>60</v>
      </c>
      <c r="R142" s="1">
        <v>45541</v>
      </c>
      <c r="S142" t="s">
        <v>1625</v>
      </c>
      <c r="T142">
        <f t="shared" si="22"/>
        <v>4</v>
      </c>
      <c r="U142">
        <f t="shared" si="23"/>
        <v>443.8</v>
      </c>
      <c r="V142">
        <f t="shared" si="24"/>
        <v>503.8</v>
      </c>
      <c r="W142">
        <f t="shared" si="25"/>
        <v>0.15</v>
      </c>
      <c r="X142">
        <f t="shared" si="26"/>
        <v>66.569999999999993</v>
      </c>
      <c r="Y142">
        <f t="shared" si="27"/>
        <v>437.23</v>
      </c>
      <c r="Z142" t="str">
        <f t="shared" si="28"/>
        <v>Lindsey Byrd</v>
      </c>
      <c r="AA142" s="1" t="str">
        <f t="shared" si="29"/>
        <v>Late</v>
      </c>
      <c r="AB142" t="str">
        <f t="shared" si="30"/>
        <v>Sep</v>
      </c>
      <c r="AC142" s="9">
        <f t="shared" si="31"/>
        <v>2024</v>
      </c>
      <c r="AD142" t="str">
        <f t="shared" si="32"/>
        <v>rediffmail.com</v>
      </c>
    </row>
    <row r="143" spans="1:30" x14ac:dyDescent="0.3">
      <c r="A143" t="s">
        <v>74</v>
      </c>
      <c r="B143" t="s">
        <v>167</v>
      </c>
      <c r="C143" t="s">
        <v>252</v>
      </c>
      <c r="D143">
        <v>33</v>
      </c>
      <c r="E143" t="s">
        <v>290</v>
      </c>
      <c r="F143" t="s">
        <v>297</v>
      </c>
      <c r="G143" t="s">
        <v>355</v>
      </c>
      <c r="H143" t="s">
        <v>455</v>
      </c>
      <c r="I143" t="s">
        <v>640</v>
      </c>
      <c r="J143" s="1">
        <v>45609</v>
      </c>
      <c r="K143" t="s">
        <v>1140</v>
      </c>
      <c r="L143" t="s">
        <v>1525</v>
      </c>
      <c r="M143">
        <v>481.48</v>
      </c>
      <c r="N143">
        <v>5</v>
      </c>
      <c r="O143" t="s">
        <v>2047</v>
      </c>
      <c r="P143">
        <v>6</v>
      </c>
      <c r="Q143">
        <v>44</v>
      </c>
      <c r="R143" s="1">
        <v>45612</v>
      </c>
      <c r="S143" t="s">
        <v>1692</v>
      </c>
      <c r="T143">
        <f t="shared" si="22"/>
        <v>3</v>
      </c>
      <c r="U143">
        <f t="shared" si="23"/>
        <v>2407.4</v>
      </c>
      <c r="V143">
        <f t="shared" si="24"/>
        <v>2451.4</v>
      </c>
      <c r="W143">
        <f t="shared" si="25"/>
        <v>0.08</v>
      </c>
      <c r="X143">
        <f t="shared" si="26"/>
        <v>192.59200000000001</v>
      </c>
      <c r="Y143">
        <f t="shared" si="27"/>
        <v>2258.808</v>
      </c>
      <c r="Z143" t="str">
        <f t="shared" si="28"/>
        <v>Jodi Whitney</v>
      </c>
      <c r="AA143" s="1" t="str">
        <f t="shared" si="29"/>
        <v>Before Time</v>
      </c>
      <c r="AB143" t="str">
        <f t="shared" si="30"/>
        <v>Nov</v>
      </c>
      <c r="AC143" s="9">
        <f t="shared" si="31"/>
        <v>2024</v>
      </c>
      <c r="AD143" t="str">
        <f t="shared" si="32"/>
        <v>yahoo.com</v>
      </c>
    </row>
    <row r="144" spans="1:30" x14ac:dyDescent="0.3">
      <c r="A144" t="s">
        <v>70</v>
      </c>
      <c r="B144" t="s">
        <v>164</v>
      </c>
      <c r="C144" t="s">
        <v>248</v>
      </c>
      <c r="D144">
        <v>64</v>
      </c>
      <c r="E144" t="s">
        <v>288</v>
      </c>
      <c r="F144" t="s">
        <v>291</v>
      </c>
      <c r="G144" t="s">
        <v>351</v>
      </c>
      <c r="H144" t="s">
        <v>451</v>
      </c>
      <c r="I144" t="s">
        <v>641</v>
      </c>
      <c r="J144" s="1">
        <v>45576</v>
      </c>
      <c r="K144" t="s">
        <v>1141</v>
      </c>
      <c r="L144" t="s">
        <v>1545</v>
      </c>
      <c r="M144">
        <v>292.14999999999998</v>
      </c>
      <c r="N144">
        <v>4</v>
      </c>
      <c r="O144" t="s">
        <v>1550</v>
      </c>
      <c r="P144">
        <v>1</v>
      </c>
      <c r="Q144">
        <v>58</v>
      </c>
      <c r="R144" s="1">
        <v>45577</v>
      </c>
      <c r="S144" t="s">
        <v>1693</v>
      </c>
      <c r="T144">
        <f t="shared" si="22"/>
        <v>1</v>
      </c>
      <c r="U144">
        <f t="shared" si="23"/>
        <v>1168.5999999999999</v>
      </c>
      <c r="V144">
        <f t="shared" si="24"/>
        <v>1226.5999999999999</v>
      </c>
      <c r="W144">
        <f t="shared" si="25"/>
        <v>0.2</v>
      </c>
      <c r="X144">
        <f t="shared" si="26"/>
        <v>233.72</v>
      </c>
      <c r="Y144">
        <f t="shared" si="27"/>
        <v>992.87999999999988</v>
      </c>
      <c r="Z144" t="str">
        <f t="shared" si="28"/>
        <v>Sarah Butler</v>
      </c>
      <c r="AA144" s="1" t="str">
        <f t="shared" si="29"/>
        <v>In Time</v>
      </c>
      <c r="AB144" t="str">
        <f t="shared" si="30"/>
        <v>Oct</v>
      </c>
      <c r="AC144" s="9">
        <f t="shared" si="31"/>
        <v>2024</v>
      </c>
      <c r="AD144" t="str">
        <f t="shared" si="32"/>
        <v>rediffmail.com</v>
      </c>
    </row>
    <row r="145" spans="1:30" x14ac:dyDescent="0.3">
      <c r="A145" t="s">
        <v>54</v>
      </c>
      <c r="B145" t="s">
        <v>152</v>
      </c>
      <c r="C145" t="s">
        <v>235</v>
      </c>
      <c r="D145">
        <v>32</v>
      </c>
      <c r="E145" t="s">
        <v>289</v>
      </c>
      <c r="F145" t="s">
        <v>297</v>
      </c>
      <c r="G145" t="s">
        <v>335</v>
      </c>
      <c r="H145" t="s">
        <v>435</v>
      </c>
      <c r="I145" t="s">
        <v>642</v>
      </c>
      <c r="J145" s="1">
        <v>45199</v>
      </c>
      <c r="K145" t="s">
        <v>1142</v>
      </c>
      <c r="L145" t="s">
        <v>1542</v>
      </c>
      <c r="M145">
        <v>20</v>
      </c>
      <c r="N145">
        <v>5</v>
      </c>
      <c r="O145" t="s">
        <v>1548</v>
      </c>
      <c r="P145">
        <v>7</v>
      </c>
      <c r="Q145">
        <v>40</v>
      </c>
      <c r="R145" s="1">
        <v>45203</v>
      </c>
      <c r="S145" t="s">
        <v>1694</v>
      </c>
      <c r="T145">
        <f t="shared" si="22"/>
        <v>4</v>
      </c>
      <c r="U145">
        <f t="shared" si="23"/>
        <v>100</v>
      </c>
      <c r="V145">
        <f t="shared" si="24"/>
        <v>140</v>
      </c>
      <c r="W145">
        <f t="shared" si="25"/>
        <v>0.15</v>
      </c>
      <c r="X145">
        <f t="shared" si="26"/>
        <v>15</v>
      </c>
      <c r="Y145">
        <f t="shared" si="27"/>
        <v>125</v>
      </c>
      <c r="Z145" t="str">
        <f t="shared" si="28"/>
        <v>Robert Castillo</v>
      </c>
      <c r="AA145" s="1" t="str">
        <f t="shared" si="29"/>
        <v>Before Time</v>
      </c>
      <c r="AB145" t="str">
        <f t="shared" si="30"/>
        <v>Sep</v>
      </c>
      <c r="AC145" s="9">
        <f t="shared" si="31"/>
        <v>2023</v>
      </c>
      <c r="AD145" t="str">
        <f t="shared" si="32"/>
        <v>gmail.com</v>
      </c>
    </row>
    <row r="146" spans="1:30" x14ac:dyDescent="0.3">
      <c r="A146" t="s">
        <v>54</v>
      </c>
      <c r="B146" t="s">
        <v>152</v>
      </c>
      <c r="C146" t="s">
        <v>235</v>
      </c>
      <c r="D146">
        <v>32</v>
      </c>
      <c r="E146" t="s">
        <v>289</v>
      </c>
      <c r="F146" t="s">
        <v>297</v>
      </c>
      <c r="G146" t="s">
        <v>335</v>
      </c>
      <c r="H146" t="s">
        <v>435</v>
      </c>
      <c r="I146" t="s">
        <v>643</v>
      </c>
      <c r="J146" s="1">
        <v>45677</v>
      </c>
      <c r="K146" t="s">
        <v>1143</v>
      </c>
      <c r="L146" t="s">
        <v>1526</v>
      </c>
      <c r="M146">
        <v>405</v>
      </c>
      <c r="N146">
        <v>2</v>
      </c>
      <c r="O146" t="s">
        <v>1548</v>
      </c>
      <c r="P146">
        <v>7</v>
      </c>
      <c r="Q146">
        <v>55</v>
      </c>
      <c r="R146" s="1">
        <v>45680</v>
      </c>
      <c r="S146" t="s">
        <v>1695</v>
      </c>
      <c r="T146">
        <f t="shared" si="22"/>
        <v>3</v>
      </c>
      <c r="U146">
        <f t="shared" si="23"/>
        <v>810</v>
      </c>
      <c r="V146">
        <f t="shared" si="24"/>
        <v>865</v>
      </c>
      <c r="W146">
        <f t="shared" si="25"/>
        <v>0.15</v>
      </c>
      <c r="X146">
        <f t="shared" si="26"/>
        <v>121.5</v>
      </c>
      <c r="Y146">
        <f t="shared" si="27"/>
        <v>743.5</v>
      </c>
      <c r="Z146" t="str">
        <f t="shared" si="28"/>
        <v>Robert Castillo</v>
      </c>
      <c r="AA146" s="1" t="str">
        <f t="shared" si="29"/>
        <v>Before Time</v>
      </c>
      <c r="AB146" t="str">
        <f t="shared" si="30"/>
        <v>Jan</v>
      </c>
      <c r="AC146" s="9">
        <f t="shared" si="31"/>
        <v>2025</v>
      </c>
      <c r="AD146" t="str">
        <f t="shared" si="32"/>
        <v>gmail.com</v>
      </c>
    </row>
    <row r="147" spans="1:30" x14ac:dyDescent="0.3">
      <c r="A147" t="s">
        <v>76</v>
      </c>
      <c r="B147" t="s">
        <v>142</v>
      </c>
      <c r="C147" t="s">
        <v>254</v>
      </c>
      <c r="D147">
        <v>35</v>
      </c>
      <c r="E147" t="s">
        <v>288</v>
      </c>
      <c r="F147" t="s">
        <v>291</v>
      </c>
      <c r="G147" t="s">
        <v>357</v>
      </c>
      <c r="H147" t="s">
        <v>457</v>
      </c>
      <c r="I147" t="s">
        <v>644</v>
      </c>
      <c r="J147" s="1">
        <v>45581</v>
      </c>
      <c r="K147" t="s">
        <v>1144</v>
      </c>
      <c r="L147" t="s">
        <v>1505</v>
      </c>
      <c r="M147">
        <v>48.45</v>
      </c>
      <c r="N147">
        <v>5</v>
      </c>
      <c r="O147" t="s">
        <v>1549</v>
      </c>
      <c r="P147">
        <v>7</v>
      </c>
      <c r="Q147">
        <v>53</v>
      </c>
      <c r="R147" s="1">
        <v>45588</v>
      </c>
      <c r="S147" t="s">
        <v>1696</v>
      </c>
      <c r="T147">
        <f t="shared" si="22"/>
        <v>7</v>
      </c>
      <c r="U147">
        <f t="shared" si="23"/>
        <v>242.25</v>
      </c>
      <c r="V147">
        <f t="shared" si="24"/>
        <v>295.25</v>
      </c>
      <c r="W147">
        <f t="shared" si="25"/>
        <v>0.1</v>
      </c>
      <c r="X147">
        <f t="shared" si="26"/>
        <v>24.225000000000001</v>
      </c>
      <c r="Y147">
        <f t="shared" si="27"/>
        <v>271.02499999999998</v>
      </c>
      <c r="Z147" t="str">
        <f t="shared" si="28"/>
        <v>Ashley Romero</v>
      </c>
      <c r="AA147" s="1" t="str">
        <f t="shared" si="29"/>
        <v>In Time</v>
      </c>
      <c r="AB147" t="str">
        <f t="shared" si="30"/>
        <v>Oct</v>
      </c>
      <c r="AC147" s="9">
        <f t="shared" si="31"/>
        <v>2024</v>
      </c>
      <c r="AD147" t="str">
        <f t="shared" si="32"/>
        <v>yahoo.com</v>
      </c>
    </row>
    <row r="148" spans="1:30" x14ac:dyDescent="0.3">
      <c r="A148" t="s">
        <v>68</v>
      </c>
      <c r="B148" t="s">
        <v>162</v>
      </c>
      <c r="C148" t="s">
        <v>232</v>
      </c>
      <c r="D148">
        <v>39</v>
      </c>
      <c r="E148" t="s">
        <v>290</v>
      </c>
      <c r="F148" t="s">
        <v>292</v>
      </c>
      <c r="G148" t="s">
        <v>349</v>
      </c>
      <c r="H148" t="s">
        <v>449</v>
      </c>
      <c r="I148" t="s">
        <v>645</v>
      </c>
      <c r="J148" s="1">
        <v>45609</v>
      </c>
      <c r="K148" t="s">
        <v>1145</v>
      </c>
      <c r="L148" t="s">
        <v>1502</v>
      </c>
      <c r="M148">
        <v>202.54</v>
      </c>
      <c r="N148">
        <v>1</v>
      </c>
      <c r="O148" t="s">
        <v>2047</v>
      </c>
      <c r="P148">
        <v>4</v>
      </c>
      <c r="Q148">
        <v>48</v>
      </c>
      <c r="R148" s="1">
        <v>45611</v>
      </c>
      <c r="S148" t="s">
        <v>1697</v>
      </c>
      <c r="T148">
        <f t="shared" si="22"/>
        <v>2</v>
      </c>
      <c r="U148">
        <f t="shared" si="23"/>
        <v>202.54</v>
      </c>
      <c r="V148">
        <f t="shared" si="24"/>
        <v>250.54</v>
      </c>
      <c r="W148">
        <f t="shared" si="25"/>
        <v>0.08</v>
      </c>
      <c r="X148">
        <f t="shared" si="26"/>
        <v>16.203199999999999</v>
      </c>
      <c r="Y148">
        <f t="shared" si="27"/>
        <v>234.33679999999998</v>
      </c>
      <c r="Z148" t="str">
        <f t="shared" si="28"/>
        <v>Mitchell Parker</v>
      </c>
      <c r="AA148" s="1" t="str">
        <f t="shared" si="29"/>
        <v>Before Time</v>
      </c>
      <c r="AB148" t="str">
        <f t="shared" si="30"/>
        <v>Nov</v>
      </c>
      <c r="AC148" s="9">
        <f t="shared" si="31"/>
        <v>2024</v>
      </c>
      <c r="AD148" t="str">
        <f t="shared" si="32"/>
        <v>yahoo.com</v>
      </c>
    </row>
    <row r="149" spans="1:30" x14ac:dyDescent="0.3">
      <c r="A149" t="s">
        <v>92</v>
      </c>
      <c r="B149" t="s">
        <v>181</v>
      </c>
      <c r="C149" t="s">
        <v>268</v>
      </c>
      <c r="D149">
        <v>27</v>
      </c>
      <c r="E149" t="s">
        <v>288</v>
      </c>
      <c r="F149" t="s">
        <v>292</v>
      </c>
      <c r="G149" t="s">
        <v>373</v>
      </c>
      <c r="H149" t="s">
        <v>473</v>
      </c>
      <c r="I149" t="s">
        <v>646</v>
      </c>
      <c r="J149" s="1">
        <v>44983</v>
      </c>
      <c r="K149" t="s">
        <v>1146</v>
      </c>
      <c r="L149" t="s">
        <v>1531</v>
      </c>
      <c r="M149">
        <v>286.07</v>
      </c>
      <c r="N149">
        <v>5</v>
      </c>
      <c r="O149" t="s">
        <v>1550</v>
      </c>
      <c r="P149">
        <v>1</v>
      </c>
      <c r="Q149">
        <v>52</v>
      </c>
      <c r="R149" s="1">
        <v>44986</v>
      </c>
      <c r="S149" t="s">
        <v>1698</v>
      </c>
      <c r="T149">
        <f t="shared" si="22"/>
        <v>3</v>
      </c>
      <c r="U149">
        <f t="shared" si="23"/>
        <v>1430.35</v>
      </c>
      <c r="V149">
        <f t="shared" si="24"/>
        <v>1482.35</v>
      </c>
      <c r="W149">
        <f t="shared" si="25"/>
        <v>0.2</v>
      </c>
      <c r="X149">
        <f t="shared" si="26"/>
        <v>286.07</v>
      </c>
      <c r="Y149">
        <f t="shared" si="27"/>
        <v>1196.28</v>
      </c>
      <c r="Z149" t="str">
        <f t="shared" si="28"/>
        <v>Kristina Haynes</v>
      </c>
      <c r="AA149" s="1" t="str">
        <f t="shared" si="29"/>
        <v>Late</v>
      </c>
      <c r="AB149" t="str">
        <f t="shared" si="30"/>
        <v>Feb</v>
      </c>
      <c r="AC149" s="9">
        <f t="shared" si="31"/>
        <v>2023</v>
      </c>
      <c r="AD149" t="str">
        <f t="shared" si="32"/>
        <v>yahoo.com</v>
      </c>
    </row>
    <row r="150" spans="1:30" x14ac:dyDescent="0.3">
      <c r="A150" t="s">
        <v>65</v>
      </c>
      <c r="B150" t="s">
        <v>160</v>
      </c>
      <c r="C150" t="s">
        <v>246</v>
      </c>
      <c r="D150">
        <v>18</v>
      </c>
      <c r="E150" t="s">
        <v>289</v>
      </c>
      <c r="F150" t="s">
        <v>292</v>
      </c>
      <c r="G150" t="s">
        <v>346</v>
      </c>
      <c r="H150" t="s">
        <v>446</v>
      </c>
      <c r="I150" t="s">
        <v>647</v>
      </c>
      <c r="J150" s="1">
        <v>45378</v>
      </c>
      <c r="K150" t="s">
        <v>1147</v>
      </c>
      <c r="L150" t="s">
        <v>1502</v>
      </c>
      <c r="M150">
        <v>202.54</v>
      </c>
      <c r="N150">
        <v>4</v>
      </c>
      <c r="O150" t="s">
        <v>1549</v>
      </c>
      <c r="P150">
        <v>1</v>
      </c>
      <c r="Q150">
        <v>36</v>
      </c>
      <c r="R150" s="1">
        <v>45380</v>
      </c>
      <c r="S150" t="s">
        <v>1699</v>
      </c>
      <c r="T150">
        <f t="shared" si="22"/>
        <v>2</v>
      </c>
      <c r="U150">
        <f t="shared" si="23"/>
        <v>810.16</v>
      </c>
      <c r="V150">
        <f t="shared" si="24"/>
        <v>846.16</v>
      </c>
      <c r="W150">
        <f t="shared" si="25"/>
        <v>0.1</v>
      </c>
      <c r="X150">
        <f t="shared" si="26"/>
        <v>81.016000000000005</v>
      </c>
      <c r="Y150">
        <f t="shared" si="27"/>
        <v>765.14400000000001</v>
      </c>
      <c r="Z150" t="str">
        <f t="shared" si="28"/>
        <v>Lori Cook</v>
      </c>
      <c r="AA150" s="1" t="str">
        <f t="shared" si="29"/>
        <v>Late</v>
      </c>
      <c r="AB150" t="str">
        <f t="shared" si="30"/>
        <v>Mar</v>
      </c>
      <c r="AC150" s="9">
        <f t="shared" si="31"/>
        <v>2024</v>
      </c>
      <c r="AD150" t="str">
        <f t="shared" si="32"/>
        <v>rediffmail.com</v>
      </c>
    </row>
    <row r="151" spans="1:30" x14ac:dyDescent="0.3">
      <c r="A151" t="s">
        <v>100</v>
      </c>
      <c r="B151" t="s">
        <v>188</v>
      </c>
      <c r="C151" t="s">
        <v>274</v>
      </c>
      <c r="D151">
        <v>64</v>
      </c>
      <c r="E151" t="s">
        <v>290</v>
      </c>
      <c r="F151" t="s">
        <v>291</v>
      </c>
      <c r="G151" t="s">
        <v>381</v>
      </c>
      <c r="H151" t="s">
        <v>481</v>
      </c>
      <c r="I151" t="s">
        <v>899</v>
      </c>
      <c r="J151" s="1">
        <v>44989</v>
      </c>
      <c r="K151" t="s">
        <v>1399</v>
      </c>
      <c r="L151" t="s">
        <v>1500</v>
      </c>
      <c r="M151">
        <v>44.5</v>
      </c>
      <c r="N151">
        <v>3</v>
      </c>
      <c r="O151" t="s">
        <v>2047</v>
      </c>
      <c r="P151">
        <v>6</v>
      </c>
      <c r="Q151">
        <v>46</v>
      </c>
      <c r="R151" s="1">
        <v>44991</v>
      </c>
      <c r="S151" t="s">
        <v>1948</v>
      </c>
      <c r="T151">
        <f t="shared" si="22"/>
        <v>2</v>
      </c>
      <c r="U151">
        <f t="shared" si="23"/>
        <v>133.5</v>
      </c>
      <c r="V151">
        <f t="shared" si="24"/>
        <v>179.5</v>
      </c>
      <c r="W151">
        <f t="shared" si="25"/>
        <v>0.08</v>
      </c>
      <c r="X151">
        <f t="shared" si="26"/>
        <v>10.68</v>
      </c>
      <c r="Y151">
        <f t="shared" si="27"/>
        <v>168.82</v>
      </c>
      <c r="Z151" t="str">
        <f t="shared" si="28"/>
        <v>Teresa Harvey</v>
      </c>
      <c r="AA151" s="1" t="str">
        <f t="shared" si="29"/>
        <v>Before Time</v>
      </c>
      <c r="AB151" t="str">
        <f t="shared" si="30"/>
        <v>Mar</v>
      </c>
      <c r="AC151" s="9">
        <f t="shared" si="31"/>
        <v>2023</v>
      </c>
      <c r="AD151" t="str">
        <f t="shared" si="32"/>
        <v>gmail.com</v>
      </c>
    </row>
    <row r="152" spans="1:30" x14ac:dyDescent="0.3">
      <c r="A152" t="s">
        <v>99</v>
      </c>
      <c r="B152" t="s">
        <v>131</v>
      </c>
      <c r="C152" t="s">
        <v>273</v>
      </c>
      <c r="D152">
        <v>29</v>
      </c>
      <c r="E152" t="s">
        <v>288</v>
      </c>
      <c r="F152" t="s">
        <v>292</v>
      </c>
      <c r="G152" t="s">
        <v>380</v>
      </c>
      <c r="H152" t="s">
        <v>480</v>
      </c>
      <c r="I152" t="s">
        <v>649</v>
      </c>
      <c r="J152" s="1">
        <v>45251</v>
      </c>
      <c r="K152" t="s">
        <v>1149</v>
      </c>
      <c r="L152" t="s">
        <v>1525</v>
      </c>
      <c r="M152">
        <v>481.48</v>
      </c>
      <c r="N152">
        <v>4</v>
      </c>
      <c r="O152" t="s">
        <v>1547</v>
      </c>
      <c r="P152">
        <v>3</v>
      </c>
      <c r="Q152">
        <v>54</v>
      </c>
      <c r="R152" s="1">
        <v>45256</v>
      </c>
      <c r="S152" t="s">
        <v>1701</v>
      </c>
      <c r="T152">
        <f t="shared" si="22"/>
        <v>5</v>
      </c>
      <c r="U152">
        <f t="shared" si="23"/>
        <v>1925.92</v>
      </c>
      <c r="V152">
        <f t="shared" si="24"/>
        <v>1925.92</v>
      </c>
      <c r="W152">
        <f t="shared" si="25"/>
        <v>0</v>
      </c>
      <c r="X152">
        <f t="shared" si="26"/>
        <v>0</v>
      </c>
      <c r="Y152">
        <f t="shared" si="27"/>
        <v>1925.92</v>
      </c>
      <c r="Z152" t="str">
        <f t="shared" si="28"/>
        <v>Amy Griffin</v>
      </c>
      <c r="AA152" s="1" t="str">
        <f t="shared" si="29"/>
        <v>Late</v>
      </c>
      <c r="AB152" t="str">
        <f t="shared" si="30"/>
        <v>Nov</v>
      </c>
      <c r="AC152" s="9">
        <f t="shared" si="31"/>
        <v>2023</v>
      </c>
      <c r="AD152" t="str">
        <f t="shared" si="32"/>
        <v>rediffmail.com</v>
      </c>
    </row>
    <row r="153" spans="1:30" x14ac:dyDescent="0.3">
      <c r="A153" t="s">
        <v>74</v>
      </c>
      <c r="B153" t="s">
        <v>167</v>
      </c>
      <c r="C153" t="s">
        <v>252</v>
      </c>
      <c r="D153">
        <v>33</v>
      </c>
      <c r="E153" t="s">
        <v>290</v>
      </c>
      <c r="F153" t="s">
        <v>297</v>
      </c>
      <c r="G153" t="s">
        <v>355</v>
      </c>
      <c r="H153" t="s">
        <v>455</v>
      </c>
      <c r="I153" t="s">
        <v>650</v>
      </c>
      <c r="J153" s="1">
        <v>45200</v>
      </c>
      <c r="K153" t="s">
        <v>1150</v>
      </c>
      <c r="L153" t="s">
        <v>1527</v>
      </c>
      <c r="M153">
        <v>77.84</v>
      </c>
      <c r="N153">
        <v>5</v>
      </c>
      <c r="O153" t="s">
        <v>1549</v>
      </c>
      <c r="P153">
        <v>1</v>
      </c>
      <c r="Q153">
        <v>41</v>
      </c>
      <c r="R153" s="1">
        <v>45206</v>
      </c>
      <c r="S153" t="s">
        <v>1702</v>
      </c>
      <c r="T153">
        <f t="shared" si="22"/>
        <v>6</v>
      </c>
      <c r="U153">
        <f t="shared" si="23"/>
        <v>389.20000000000005</v>
      </c>
      <c r="V153">
        <f t="shared" si="24"/>
        <v>430.20000000000005</v>
      </c>
      <c r="W153">
        <f t="shared" si="25"/>
        <v>0.1</v>
      </c>
      <c r="X153">
        <f t="shared" si="26"/>
        <v>38.920000000000009</v>
      </c>
      <c r="Y153">
        <f t="shared" si="27"/>
        <v>391.28000000000003</v>
      </c>
      <c r="Z153" t="str">
        <f t="shared" si="28"/>
        <v>Jodi Whitney</v>
      </c>
      <c r="AA153" s="1" t="str">
        <f t="shared" si="29"/>
        <v>Late</v>
      </c>
      <c r="AB153" t="str">
        <f t="shared" si="30"/>
        <v>Oct</v>
      </c>
      <c r="AC153" s="9">
        <f t="shared" si="31"/>
        <v>2023</v>
      </c>
      <c r="AD153" t="str">
        <f t="shared" si="32"/>
        <v>yahoo.com</v>
      </c>
    </row>
    <row r="154" spans="1:30" x14ac:dyDescent="0.3">
      <c r="A154" t="s">
        <v>66</v>
      </c>
      <c r="B154" t="s">
        <v>127</v>
      </c>
      <c r="C154" t="s">
        <v>247</v>
      </c>
      <c r="D154">
        <v>33</v>
      </c>
      <c r="E154" t="s">
        <v>288</v>
      </c>
      <c r="F154" t="s">
        <v>297</v>
      </c>
      <c r="G154" t="s">
        <v>347</v>
      </c>
      <c r="H154" t="s">
        <v>447</v>
      </c>
      <c r="I154" t="s">
        <v>651</v>
      </c>
      <c r="J154" s="1">
        <v>45330</v>
      </c>
      <c r="K154" t="s">
        <v>1151</v>
      </c>
      <c r="L154" t="s">
        <v>1518</v>
      </c>
      <c r="M154">
        <v>496.59</v>
      </c>
      <c r="N154">
        <v>2</v>
      </c>
      <c r="O154" t="s">
        <v>1549</v>
      </c>
      <c r="P154">
        <v>5</v>
      </c>
      <c r="Q154">
        <v>40</v>
      </c>
      <c r="R154" s="1">
        <v>45331</v>
      </c>
      <c r="S154" t="s">
        <v>1703</v>
      </c>
      <c r="T154">
        <f t="shared" si="22"/>
        <v>1</v>
      </c>
      <c r="U154">
        <f t="shared" si="23"/>
        <v>993.18</v>
      </c>
      <c r="V154">
        <f t="shared" si="24"/>
        <v>1033.1799999999998</v>
      </c>
      <c r="W154">
        <f t="shared" si="25"/>
        <v>0.1</v>
      </c>
      <c r="X154">
        <f t="shared" si="26"/>
        <v>99.317999999999998</v>
      </c>
      <c r="Y154">
        <f t="shared" si="27"/>
        <v>933.86199999999985</v>
      </c>
      <c r="Z154" t="str">
        <f t="shared" si="28"/>
        <v>Debra Hayes</v>
      </c>
      <c r="AA154" s="1" t="str">
        <f t="shared" si="29"/>
        <v>Before Time</v>
      </c>
      <c r="AB154" t="str">
        <f t="shared" si="30"/>
        <v>Feb</v>
      </c>
      <c r="AC154" s="9">
        <f t="shared" si="31"/>
        <v>2024</v>
      </c>
      <c r="AD154" t="str">
        <f t="shared" si="32"/>
        <v>yahoo.com</v>
      </c>
    </row>
    <row r="155" spans="1:30" x14ac:dyDescent="0.3">
      <c r="A155" t="s">
        <v>100</v>
      </c>
      <c r="B155" t="s">
        <v>188</v>
      </c>
      <c r="C155" t="s">
        <v>274</v>
      </c>
      <c r="D155">
        <v>64</v>
      </c>
      <c r="E155" t="s">
        <v>290</v>
      </c>
      <c r="F155" t="s">
        <v>291</v>
      </c>
      <c r="G155" t="s">
        <v>381</v>
      </c>
      <c r="H155" t="s">
        <v>481</v>
      </c>
      <c r="I155" t="s">
        <v>995</v>
      </c>
      <c r="J155" s="1">
        <v>45129</v>
      </c>
      <c r="K155" t="s">
        <v>1493</v>
      </c>
      <c r="L155" t="s">
        <v>1510</v>
      </c>
      <c r="M155">
        <v>220.27</v>
      </c>
      <c r="N155">
        <v>3</v>
      </c>
      <c r="O155" t="s">
        <v>2047</v>
      </c>
      <c r="P155">
        <v>6</v>
      </c>
      <c r="Q155">
        <v>48</v>
      </c>
      <c r="R155" s="1">
        <v>45132</v>
      </c>
      <c r="S155" t="s">
        <v>2043</v>
      </c>
      <c r="T155">
        <f t="shared" si="22"/>
        <v>3</v>
      </c>
      <c r="U155">
        <f t="shared" si="23"/>
        <v>660.81000000000006</v>
      </c>
      <c r="V155">
        <f t="shared" si="24"/>
        <v>708.81000000000006</v>
      </c>
      <c r="W155">
        <f t="shared" si="25"/>
        <v>0.08</v>
      </c>
      <c r="X155">
        <f t="shared" si="26"/>
        <v>52.864800000000002</v>
      </c>
      <c r="Y155">
        <f t="shared" si="27"/>
        <v>655.94520000000011</v>
      </c>
      <c r="Z155" t="str">
        <f t="shared" si="28"/>
        <v>Teresa Harvey</v>
      </c>
      <c r="AA155" s="1" t="str">
        <f t="shared" si="29"/>
        <v>Before Time</v>
      </c>
      <c r="AB155" t="str">
        <f t="shared" si="30"/>
        <v>Jul</v>
      </c>
      <c r="AC155" s="9">
        <f t="shared" si="31"/>
        <v>2023</v>
      </c>
      <c r="AD155" t="str">
        <f t="shared" si="32"/>
        <v>gmail.com</v>
      </c>
    </row>
    <row r="156" spans="1:30" x14ac:dyDescent="0.3">
      <c r="A156" t="s">
        <v>46</v>
      </c>
      <c r="B156" t="s">
        <v>144</v>
      </c>
      <c r="C156" t="s">
        <v>227</v>
      </c>
      <c r="D156">
        <v>44</v>
      </c>
      <c r="E156" t="s">
        <v>288</v>
      </c>
      <c r="F156" t="s">
        <v>298</v>
      </c>
      <c r="G156" t="s">
        <v>327</v>
      </c>
      <c r="H156" t="s">
        <v>427</v>
      </c>
      <c r="I156" t="s">
        <v>653</v>
      </c>
      <c r="J156" s="1">
        <v>45584</v>
      </c>
      <c r="K156" t="s">
        <v>1153</v>
      </c>
      <c r="L156" t="s">
        <v>1523</v>
      </c>
      <c r="M156">
        <v>129.75</v>
      </c>
      <c r="N156">
        <v>1</v>
      </c>
      <c r="O156" t="s">
        <v>1547</v>
      </c>
      <c r="P156">
        <v>7</v>
      </c>
      <c r="Q156">
        <v>44</v>
      </c>
      <c r="R156" s="1">
        <v>45591</v>
      </c>
      <c r="S156" t="s">
        <v>1705</v>
      </c>
      <c r="T156">
        <f t="shared" si="22"/>
        <v>7</v>
      </c>
      <c r="U156">
        <f t="shared" si="23"/>
        <v>129.75</v>
      </c>
      <c r="V156">
        <f t="shared" si="24"/>
        <v>129.75</v>
      </c>
      <c r="W156">
        <f t="shared" si="25"/>
        <v>0</v>
      </c>
      <c r="X156">
        <f t="shared" si="26"/>
        <v>0</v>
      </c>
      <c r="Y156">
        <f t="shared" si="27"/>
        <v>129.75</v>
      </c>
      <c r="Z156" t="str">
        <f t="shared" si="28"/>
        <v>Lauren Long</v>
      </c>
      <c r="AA156" s="1" t="str">
        <f t="shared" si="29"/>
        <v>In Time</v>
      </c>
      <c r="AB156" t="str">
        <f t="shared" si="30"/>
        <v>Oct</v>
      </c>
      <c r="AC156" s="9">
        <f t="shared" si="31"/>
        <v>2024</v>
      </c>
      <c r="AD156" t="str">
        <f t="shared" si="32"/>
        <v>gmail.com</v>
      </c>
    </row>
    <row r="157" spans="1:30" x14ac:dyDescent="0.3">
      <c r="A157" t="s">
        <v>91</v>
      </c>
      <c r="B157" t="s">
        <v>180</v>
      </c>
      <c r="C157" t="s">
        <v>267</v>
      </c>
      <c r="D157">
        <v>43</v>
      </c>
      <c r="E157" t="s">
        <v>290</v>
      </c>
      <c r="F157" t="s">
        <v>293</v>
      </c>
      <c r="G157" t="s">
        <v>372</v>
      </c>
      <c r="H157" t="s">
        <v>472</v>
      </c>
      <c r="I157" t="s">
        <v>654</v>
      </c>
      <c r="J157" s="1">
        <v>45291</v>
      </c>
      <c r="K157" t="s">
        <v>1154</v>
      </c>
      <c r="L157" t="s">
        <v>1533</v>
      </c>
      <c r="M157">
        <v>136.30000000000001</v>
      </c>
      <c r="N157">
        <v>1</v>
      </c>
      <c r="O157" t="s">
        <v>1548</v>
      </c>
      <c r="P157">
        <v>1</v>
      </c>
      <c r="Q157">
        <v>64</v>
      </c>
      <c r="R157" s="1">
        <v>45296</v>
      </c>
      <c r="S157" t="s">
        <v>1706</v>
      </c>
      <c r="T157">
        <f t="shared" si="22"/>
        <v>5</v>
      </c>
      <c r="U157">
        <f t="shared" si="23"/>
        <v>136.30000000000001</v>
      </c>
      <c r="V157">
        <f t="shared" si="24"/>
        <v>200.3</v>
      </c>
      <c r="W157">
        <f t="shared" si="25"/>
        <v>0.15</v>
      </c>
      <c r="X157">
        <f t="shared" si="26"/>
        <v>20.445</v>
      </c>
      <c r="Y157">
        <f t="shared" si="27"/>
        <v>179.85500000000002</v>
      </c>
      <c r="Z157" t="str">
        <f t="shared" si="28"/>
        <v>Barbara Fuller</v>
      </c>
      <c r="AA157" s="1" t="str">
        <f t="shared" si="29"/>
        <v>Late</v>
      </c>
      <c r="AB157" t="str">
        <f t="shared" si="30"/>
        <v>Dec</v>
      </c>
      <c r="AC157" s="9">
        <f t="shared" si="31"/>
        <v>2023</v>
      </c>
      <c r="AD157" t="str">
        <f t="shared" si="32"/>
        <v>rediffmail.com</v>
      </c>
    </row>
    <row r="158" spans="1:30" x14ac:dyDescent="0.3">
      <c r="A158" t="s">
        <v>61</v>
      </c>
      <c r="B158" t="s">
        <v>158</v>
      </c>
      <c r="C158" t="s">
        <v>242</v>
      </c>
      <c r="D158">
        <v>28</v>
      </c>
      <c r="E158" t="s">
        <v>290</v>
      </c>
      <c r="F158" t="s">
        <v>295</v>
      </c>
      <c r="G158" t="s">
        <v>342</v>
      </c>
      <c r="H158" t="s">
        <v>442</v>
      </c>
      <c r="I158" t="s">
        <v>655</v>
      </c>
      <c r="J158" s="1">
        <v>45482</v>
      </c>
      <c r="K158" t="s">
        <v>1155</v>
      </c>
      <c r="L158" t="s">
        <v>1531</v>
      </c>
      <c r="M158">
        <v>286.07</v>
      </c>
      <c r="N158">
        <v>2</v>
      </c>
      <c r="O158" t="s">
        <v>2047</v>
      </c>
      <c r="P158">
        <v>3</v>
      </c>
      <c r="Q158">
        <v>54</v>
      </c>
      <c r="R158" s="1">
        <v>45485</v>
      </c>
      <c r="S158" t="s">
        <v>1707</v>
      </c>
      <c r="T158">
        <f t="shared" si="22"/>
        <v>3</v>
      </c>
      <c r="U158">
        <f t="shared" si="23"/>
        <v>572.14</v>
      </c>
      <c r="V158">
        <f t="shared" si="24"/>
        <v>626.14</v>
      </c>
      <c r="W158">
        <f t="shared" si="25"/>
        <v>0.08</v>
      </c>
      <c r="X158">
        <f t="shared" si="26"/>
        <v>45.7712</v>
      </c>
      <c r="Y158">
        <f t="shared" si="27"/>
        <v>580.36879999999996</v>
      </c>
      <c r="Z158" t="str">
        <f t="shared" si="28"/>
        <v>Mary Knight</v>
      </c>
      <c r="AA158" s="1" t="str">
        <f t="shared" si="29"/>
        <v>In Time</v>
      </c>
      <c r="AB158" t="str">
        <f t="shared" si="30"/>
        <v>Jul</v>
      </c>
      <c r="AC158" s="9">
        <f t="shared" si="31"/>
        <v>2024</v>
      </c>
      <c r="AD158" t="str">
        <f t="shared" si="32"/>
        <v>yahoo.com</v>
      </c>
    </row>
    <row r="159" spans="1:30" x14ac:dyDescent="0.3">
      <c r="A159" t="s">
        <v>70</v>
      </c>
      <c r="B159" t="s">
        <v>164</v>
      </c>
      <c r="C159" t="s">
        <v>248</v>
      </c>
      <c r="D159">
        <v>64</v>
      </c>
      <c r="E159" t="s">
        <v>288</v>
      </c>
      <c r="F159" t="s">
        <v>291</v>
      </c>
      <c r="G159" t="s">
        <v>351</v>
      </c>
      <c r="H159" t="s">
        <v>451</v>
      </c>
      <c r="I159" t="s">
        <v>656</v>
      </c>
      <c r="J159" s="1">
        <v>45089</v>
      </c>
      <c r="K159" t="s">
        <v>1156</v>
      </c>
      <c r="L159" t="s">
        <v>1503</v>
      </c>
      <c r="M159">
        <v>363.64</v>
      </c>
      <c r="N159">
        <v>2</v>
      </c>
      <c r="O159" t="s">
        <v>1547</v>
      </c>
      <c r="P159">
        <v>4</v>
      </c>
      <c r="Q159">
        <v>40</v>
      </c>
      <c r="R159" s="1">
        <v>45091</v>
      </c>
      <c r="S159" t="s">
        <v>1708</v>
      </c>
      <c r="T159">
        <f t="shared" si="22"/>
        <v>2</v>
      </c>
      <c r="U159">
        <f t="shared" si="23"/>
        <v>727.28</v>
      </c>
      <c r="V159">
        <f t="shared" si="24"/>
        <v>727.28</v>
      </c>
      <c r="W159">
        <f t="shared" si="25"/>
        <v>0</v>
      </c>
      <c r="X159">
        <f t="shared" si="26"/>
        <v>0</v>
      </c>
      <c r="Y159">
        <f t="shared" si="27"/>
        <v>727.28</v>
      </c>
      <c r="Z159" t="str">
        <f t="shared" si="28"/>
        <v>Sarah Butler</v>
      </c>
      <c r="AA159" s="1" t="str">
        <f t="shared" si="29"/>
        <v>Before Time</v>
      </c>
      <c r="AB159" t="str">
        <f t="shared" si="30"/>
        <v>Jun</v>
      </c>
      <c r="AC159" s="9">
        <f t="shared" si="31"/>
        <v>2023</v>
      </c>
      <c r="AD159" t="str">
        <f t="shared" si="32"/>
        <v>rediffmail.com</v>
      </c>
    </row>
    <row r="160" spans="1:30" x14ac:dyDescent="0.3">
      <c r="A160" t="s">
        <v>61</v>
      </c>
      <c r="B160" t="s">
        <v>158</v>
      </c>
      <c r="C160" t="s">
        <v>242</v>
      </c>
      <c r="D160">
        <v>28</v>
      </c>
      <c r="E160" t="s">
        <v>290</v>
      </c>
      <c r="F160" t="s">
        <v>295</v>
      </c>
      <c r="G160" t="s">
        <v>342</v>
      </c>
      <c r="H160" t="s">
        <v>442</v>
      </c>
      <c r="I160" t="s">
        <v>657</v>
      </c>
      <c r="J160" s="1">
        <v>45610</v>
      </c>
      <c r="K160" t="s">
        <v>1157</v>
      </c>
      <c r="L160" t="s">
        <v>1537</v>
      </c>
      <c r="M160">
        <v>445.81</v>
      </c>
      <c r="N160">
        <v>5</v>
      </c>
      <c r="O160" t="s">
        <v>2047</v>
      </c>
      <c r="P160">
        <v>6</v>
      </c>
      <c r="Q160">
        <v>70</v>
      </c>
      <c r="R160" s="1">
        <v>45613</v>
      </c>
      <c r="S160" t="s">
        <v>1709</v>
      </c>
      <c r="T160">
        <f t="shared" si="22"/>
        <v>3</v>
      </c>
      <c r="U160">
        <f t="shared" si="23"/>
        <v>2229.0500000000002</v>
      </c>
      <c r="V160">
        <f t="shared" si="24"/>
        <v>2299.0500000000002</v>
      </c>
      <c r="W160">
        <f t="shared" si="25"/>
        <v>0.08</v>
      </c>
      <c r="X160">
        <f t="shared" si="26"/>
        <v>178.32400000000001</v>
      </c>
      <c r="Y160">
        <f t="shared" si="27"/>
        <v>2120.7260000000001</v>
      </c>
      <c r="Z160" t="str">
        <f t="shared" si="28"/>
        <v>Mary Knight</v>
      </c>
      <c r="AA160" s="1" t="str">
        <f t="shared" si="29"/>
        <v>Before Time</v>
      </c>
      <c r="AB160" t="str">
        <f t="shared" si="30"/>
        <v>Nov</v>
      </c>
      <c r="AC160" s="9">
        <f t="shared" si="31"/>
        <v>2024</v>
      </c>
      <c r="AD160" t="str">
        <f t="shared" si="32"/>
        <v>yahoo.com</v>
      </c>
    </row>
    <row r="161" spans="1:30" x14ac:dyDescent="0.3">
      <c r="A161" t="s">
        <v>47</v>
      </c>
      <c r="B161" t="s">
        <v>145</v>
      </c>
      <c r="C161" t="s">
        <v>228</v>
      </c>
      <c r="D161">
        <v>24</v>
      </c>
      <c r="E161" t="s">
        <v>290</v>
      </c>
      <c r="F161" t="s">
        <v>298</v>
      </c>
      <c r="G161" t="s">
        <v>328</v>
      </c>
      <c r="H161" t="s">
        <v>428</v>
      </c>
      <c r="I161" t="s">
        <v>530</v>
      </c>
      <c r="J161" s="1">
        <v>45045</v>
      </c>
      <c r="K161" t="s">
        <v>1030</v>
      </c>
      <c r="L161" t="s">
        <v>1521</v>
      </c>
      <c r="M161">
        <v>110.95</v>
      </c>
      <c r="N161">
        <v>5</v>
      </c>
      <c r="O161" t="s">
        <v>1550</v>
      </c>
      <c r="P161">
        <v>5</v>
      </c>
      <c r="Q161">
        <v>62</v>
      </c>
      <c r="R161" s="1">
        <v>45047</v>
      </c>
      <c r="S161" t="s">
        <v>1582</v>
      </c>
      <c r="T161">
        <f t="shared" si="22"/>
        <v>2</v>
      </c>
      <c r="U161">
        <f t="shared" si="23"/>
        <v>554.75</v>
      </c>
      <c r="V161">
        <f t="shared" si="24"/>
        <v>616.75</v>
      </c>
      <c r="W161">
        <f t="shared" si="25"/>
        <v>0.2</v>
      </c>
      <c r="X161">
        <f t="shared" si="26"/>
        <v>110.95</v>
      </c>
      <c r="Y161">
        <f t="shared" si="27"/>
        <v>505.8</v>
      </c>
      <c r="Z161" t="str">
        <f t="shared" si="28"/>
        <v>Rachael Robinson</v>
      </c>
      <c r="AA161" s="1" t="str">
        <f t="shared" si="29"/>
        <v>Before Time</v>
      </c>
      <c r="AB161" t="str">
        <f t="shared" si="30"/>
        <v>Apr</v>
      </c>
      <c r="AC161" s="9">
        <f t="shared" si="31"/>
        <v>2023</v>
      </c>
      <c r="AD161" t="str">
        <f t="shared" si="32"/>
        <v>rediffmail.com</v>
      </c>
    </row>
    <row r="162" spans="1:30" x14ac:dyDescent="0.3">
      <c r="A162" t="s">
        <v>67</v>
      </c>
      <c r="B162" t="s">
        <v>161</v>
      </c>
      <c r="C162" t="s">
        <v>211</v>
      </c>
      <c r="D162">
        <v>68</v>
      </c>
      <c r="E162" t="s">
        <v>290</v>
      </c>
      <c r="F162" t="s">
        <v>298</v>
      </c>
      <c r="G162" t="s">
        <v>348</v>
      </c>
      <c r="H162" t="s">
        <v>448</v>
      </c>
      <c r="I162" t="s">
        <v>659</v>
      </c>
      <c r="J162" s="1">
        <v>45529</v>
      </c>
      <c r="K162" t="s">
        <v>1159</v>
      </c>
      <c r="L162" t="s">
        <v>1512</v>
      </c>
      <c r="M162">
        <v>104.18</v>
      </c>
      <c r="N162">
        <v>4</v>
      </c>
      <c r="O162" t="s">
        <v>2047</v>
      </c>
      <c r="P162">
        <v>4</v>
      </c>
      <c r="Q162">
        <v>45</v>
      </c>
      <c r="R162" s="1">
        <v>45536</v>
      </c>
      <c r="S162" t="s">
        <v>1711</v>
      </c>
      <c r="T162">
        <f t="shared" si="22"/>
        <v>7</v>
      </c>
      <c r="U162">
        <f t="shared" si="23"/>
        <v>416.72</v>
      </c>
      <c r="V162">
        <f t="shared" si="24"/>
        <v>461.72</v>
      </c>
      <c r="W162">
        <f t="shared" si="25"/>
        <v>0.08</v>
      </c>
      <c r="X162">
        <f t="shared" si="26"/>
        <v>33.337600000000002</v>
      </c>
      <c r="Y162">
        <f t="shared" si="27"/>
        <v>428.38240000000002</v>
      </c>
      <c r="Z162" t="str">
        <f t="shared" si="28"/>
        <v>Brittany Stewart</v>
      </c>
      <c r="AA162" s="1" t="str">
        <f t="shared" si="29"/>
        <v>Late</v>
      </c>
      <c r="AB162" t="str">
        <f t="shared" si="30"/>
        <v>Aug</v>
      </c>
      <c r="AC162" s="9">
        <f t="shared" si="31"/>
        <v>2024</v>
      </c>
      <c r="AD162" t="str">
        <f t="shared" si="32"/>
        <v>gmail.com</v>
      </c>
    </row>
    <row r="163" spans="1:30" x14ac:dyDescent="0.3">
      <c r="A163" t="s">
        <v>65</v>
      </c>
      <c r="B163" t="s">
        <v>160</v>
      </c>
      <c r="C163" t="s">
        <v>246</v>
      </c>
      <c r="D163">
        <v>18</v>
      </c>
      <c r="E163" t="s">
        <v>289</v>
      </c>
      <c r="F163" t="s">
        <v>292</v>
      </c>
      <c r="G163" t="s">
        <v>346</v>
      </c>
      <c r="H163" t="s">
        <v>446</v>
      </c>
      <c r="I163" t="s">
        <v>660</v>
      </c>
      <c r="J163" s="1">
        <v>45535</v>
      </c>
      <c r="K163" t="s">
        <v>1160</v>
      </c>
      <c r="L163" t="s">
        <v>1518</v>
      </c>
      <c r="M163">
        <v>496.59</v>
      </c>
      <c r="N163">
        <v>4</v>
      </c>
      <c r="O163" t="s">
        <v>1550</v>
      </c>
      <c r="P163">
        <v>1</v>
      </c>
      <c r="Q163">
        <v>59</v>
      </c>
      <c r="R163" s="1">
        <v>45541</v>
      </c>
      <c r="S163" t="s">
        <v>1712</v>
      </c>
      <c r="T163">
        <f t="shared" si="22"/>
        <v>6</v>
      </c>
      <c r="U163">
        <f t="shared" si="23"/>
        <v>1986.36</v>
      </c>
      <c r="V163">
        <f t="shared" si="24"/>
        <v>2045.36</v>
      </c>
      <c r="W163">
        <f t="shared" si="25"/>
        <v>0.2</v>
      </c>
      <c r="X163">
        <f t="shared" si="26"/>
        <v>397.27199999999999</v>
      </c>
      <c r="Y163">
        <f t="shared" si="27"/>
        <v>1648.088</v>
      </c>
      <c r="Z163" t="str">
        <f t="shared" si="28"/>
        <v>Lori Cook</v>
      </c>
      <c r="AA163" s="1" t="str">
        <f t="shared" si="29"/>
        <v>Late</v>
      </c>
      <c r="AB163" t="str">
        <f t="shared" si="30"/>
        <v>Aug</v>
      </c>
      <c r="AC163" s="9">
        <f t="shared" si="31"/>
        <v>2024</v>
      </c>
      <c r="AD163" t="str">
        <f t="shared" si="32"/>
        <v>rediffmail.com</v>
      </c>
    </row>
    <row r="164" spans="1:30" x14ac:dyDescent="0.3">
      <c r="A164" t="s">
        <v>28</v>
      </c>
      <c r="B164" t="s">
        <v>128</v>
      </c>
      <c r="C164" t="s">
        <v>210</v>
      </c>
      <c r="D164">
        <v>20</v>
      </c>
      <c r="E164" t="s">
        <v>288</v>
      </c>
      <c r="F164" t="s">
        <v>296</v>
      </c>
      <c r="G164" t="s">
        <v>309</v>
      </c>
      <c r="H164" t="s">
        <v>409</v>
      </c>
      <c r="I164" t="s">
        <v>922</v>
      </c>
      <c r="J164" s="1">
        <v>44981</v>
      </c>
      <c r="K164" t="s">
        <v>1421</v>
      </c>
      <c r="L164" t="s">
        <v>1544</v>
      </c>
      <c r="M164">
        <v>107.47</v>
      </c>
      <c r="N164">
        <v>5</v>
      </c>
      <c r="O164" t="s">
        <v>1550</v>
      </c>
      <c r="P164">
        <v>6</v>
      </c>
      <c r="Q164">
        <v>48</v>
      </c>
      <c r="R164" s="1">
        <v>44987</v>
      </c>
      <c r="S164" t="s">
        <v>1970</v>
      </c>
      <c r="T164">
        <f t="shared" si="22"/>
        <v>6</v>
      </c>
      <c r="U164">
        <f t="shared" si="23"/>
        <v>537.35</v>
      </c>
      <c r="V164">
        <f t="shared" si="24"/>
        <v>585.35</v>
      </c>
      <c r="W164">
        <f t="shared" si="25"/>
        <v>0.2</v>
      </c>
      <c r="X164">
        <f t="shared" si="26"/>
        <v>107.47000000000001</v>
      </c>
      <c r="Y164">
        <f t="shared" si="27"/>
        <v>477.88</v>
      </c>
      <c r="Z164" t="str">
        <f t="shared" si="28"/>
        <v>Bobby Forbes</v>
      </c>
      <c r="AA164" s="1" t="str">
        <f t="shared" si="29"/>
        <v>In Time</v>
      </c>
      <c r="AB164" t="str">
        <f t="shared" si="30"/>
        <v>Feb</v>
      </c>
      <c r="AC164" s="9">
        <f t="shared" si="31"/>
        <v>2023</v>
      </c>
      <c r="AD164" t="str">
        <f t="shared" si="32"/>
        <v>gmail.com</v>
      </c>
    </row>
    <row r="165" spans="1:30" x14ac:dyDescent="0.3">
      <c r="A165" t="s">
        <v>47</v>
      </c>
      <c r="B165" t="s">
        <v>145</v>
      </c>
      <c r="C165" t="s">
        <v>228</v>
      </c>
      <c r="D165">
        <v>24</v>
      </c>
      <c r="E165" t="s">
        <v>290</v>
      </c>
      <c r="F165" t="s">
        <v>298</v>
      </c>
      <c r="G165" t="s">
        <v>328</v>
      </c>
      <c r="H165" t="s">
        <v>428</v>
      </c>
      <c r="I165" t="s">
        <v>574</v>
      </c>
      <c r="J165" s="1">
        <v>45207</v>
      </c>
      <c r="K165" t="s">
        <v>1074</v>
      </c>
      <c r="L165" t="s">
        <v>1517</v>
      </c>
      <c r="M165">
        <v>282.63</v>
      </c>
      <c r="N165">
        <v>1</v>
      </c>
      <c r="O165" t="s">
        <v>1547</v>
      </c>
      <c r="P165">
        <v>5</v>
      </c>
      <c r="Q165">
        <v>45</v>
      </c>
      <c r="R165" s="1">
        <v>45214</v>
      </c>
      <c r="S165" t="s">
        <v>1626</v>
      </c>
      <c r="T165">
        <f t="shared" si="22"/>
        <v>7</v>
      </c>
      <c r="U165">
        <f t="shared" si="23"/>
        <v>282.63</v>
      </c>
      <c r="V165">
        <f t="shared" si="24"/>
        <v>282.63</v>
      </c>
      <c r="W165">
        <f t="shared" si="25"/>
        <v>0</v>
      </c>
      <c r="X165">
        <f t="shared" si="26"/>
        <v>0</v>
      </c>
      <c r="Y165">
        <f t="shared" si="27"/>
        <v>282.63</v>
      </c>
      <c r="Z165" t="str">
        <f t="shared" si="28"/>
        <v>Rachael Robinson</v>
      </c>
      <c r="AA165" s="1" t="str">
        <f t="shared" si="29"/>
        <v>Late</v>
      </c>
      <c r="AB165" t="str">
        <f t="shared" si="30"/>
        <v>Oct</v>
      </c>
      <c r="AC165" s="9">
        <f t="shared" si="31"/>
        <v>2023</v>
      </c>
      <c r="AD165" t="str">
        <f t="shared" si="32"/>
        <v>rediffmail.com</v>
      </c>
    </row>
    <row r="166" spans="1:30" x14ac:dyDescent="0.3">
      <c r="A166" t="s">
        <v>29</v>
      </c>
      <c r="B166" t="s">
        <v>129</v>
      </c>
      <c r="C166" t="s">
        <v>211</v>
      </c>
      <c r="D166">
        <v>30</v>
      </c>
      <c r="E166" t="s">
        <v>289</v>
      </c>
      <c r="F166" t="s">
        <v>292</v>
      </c>
      <c r="G166" t="s">
        <v>310</v>
      </c>
      <c r="H166" t="s">
        <v>410</v>
      </c>
      <c r="I166" t="s">
        <v>663</v>
      </c>
      <c r="J166" s="1">
        <v>45185</v>
      </c>
      <c r="K166" t="s">
        <v>1163</v>
      </c>
      <c r="L166" t="s">
        <v>1530</v>
      </c>
      <c r="M166">
        <v>369.03</v>
      </c>
      <c r="N166">
        <v>1</v>
      </c>
      <c r="O166" t="s">
        <v>1550</v>
      </c>
      <c r="P166">
        <v>1</v>
      </c>
      <c r="Q166">
        <v>48</v>
      </c>
      <c r="R166" s="1">
        <v>45192</v>
      </c>
      <c r="S166" t="s">
        <v>1715</v>
      </c>
      <c r="T166">
        <f t="shared" si="22"/>
        <v>7</v>
      </c>
      <c r="U166">
        <f t="shared" si="23"/>
        <v>369.03</v>
      </c>
      <c r="V166">
        <f t="shared" si="24"/>
        <v>417.03</v>
      </c>
      <c r="W166">
        <f t="shared" si="25"/>
        <v>0.2</v>
      </c>
      <c r="X166">
        <f t="shared" si="26"/>
        <v>73.805999999999997</v>
      </c>
      <c r="Y166">
        <f t="shared" si="27"/>
        <v>343.22399999999999</v>
      </c>
      <c r="Z166" t="str">
        <f t="shared" si="28"/>
        <v>Joseph Stewart</v>
      </c>
      <c r="AA166" s="1" t="str">
        <f t="shared" si="29"/>
        <v>Late</v>
      </c>
      <c r="AB166" t="str">
        <f t="shared" si="30"/>
        <v>Sep</v>
      </c>
      <c r="AC166" s="9">
        <f t="shared" si="31"/>
        <v>2023</v>
      </c>
      <c r="AD166" t="str">
        <f t="shared" si="32"/>
        <v>yahoo.com</v>
      </c>
    </row>
    <row r="167" spans="1:30" x14ac:dyDescent="0.3">
      <c r="A167" t="s">
        <v>31</v>
      </c>
      <c r="B167" t="s">
        <v>131</v>
      </c>
      <c r="C167" t="s">
        <v>213</v>
      </c>
      <c r="D167">
        <v>44</v>
      </c>
      <c r="E167" t="s">
        <v>289</v>
      </c>
      <c r="F167" t="s">
        <v>296</v>
      </c>
      <c r="G167" t="s">
        <v>312</v>
      </c>
      <c r="H167" t="s">
        <v>412</v>
      </c>
      <c r="I167" t="s">
        <v>664</v>
      </c>
      <c r="J167" s="1">
        <v>45513</v>
      </c>
      <c r="K167" t="s">
        <v>1164</v>
      </c>
      <c r="L167" t="s">
        <v>1512</v>
      </c>
      <c r="M167">
        <v>104.18</v>
      </c>
      <c r="N167">
        <v>2</v>
      </c>
      <c r="O167" t="s">
        <v>1547</v>
      </c>
      <c r="P167">
        <v>2</v>
      </c>
      <c r="Q167">
        <v>57</v>
      </c>
      <c r="R167" s="1">
        <v>45515</v>
      </c>
      <c r="S167" t="s">
        <v>1716</v>
      </c>
      <c r="T167">
        <f t="shared" si="22"/>
        <v>2</v>
      </c>
      <c r="U167">
        <f t="shared" si="23"/>
        <v>208.36</v>
      </c>
      <c r="V167">
        <f t="shared" si="24"/>
        <v>208.36</v>
      </c>
      <c r="W167">
        <f t="shared" si="25"/>
        <v>0</v>
      </c>
      <c r="X167">
        <f t="shared" si="26"/>
        <v>0</v>
      </c>
      <c r="Y167">
        <f t="shared" si="27"/>
        <v>208.36</v>
      </c>
      <c r="Z167" t="str">
        <f t="shared" si="28"/>
        <v>Amy Reid</v>
      </c>
      <c r="AA167" s="1" t="str">
        <f t="shared" si="29"/>
        <v>In Time</v>
      </c>
      <c r="AB167" t="str">
        <f t="shared" si="30"/>
        <v>Aug</v>
      </c>
      <c r="AC167" s="9">
        <f t="shared" si="31"/>
        <v>2024</v>
      </c>
      <c r="AD167" t="str">
        <f t="shared" si="32"/>
        <v>rediffmail.com</v>
      </c>
    </row>
    <row r="168" spans="1:30" x14ac:dyDescent="0.3">
      <c r="A168" t="s">
        <v>21</v>
      </c>
      <c r="B168" t="s">
        <v>121</v>
      </c>
      <c r="C168" t="s">
        <v>203</v>
      </c>
      <c r="D168">
        <v>28</v>
      </c>
      <c r="E168" t="s">
        <v>290</v>
      </c>
      <c r="F168" t="s">
        <v>294</v>
      </c>
      <c r="G168" t="s">
        <v>302</v>
      </c>
      <c r="H168" t="s">
        <v>402</v>
      </c>
      <c r="I168" t="s">
        <v>854</v>
      </c>
      <c r="J168" s="1">
        <v>45550</v>
      </c>
      <c r="K168" t="s">
        <v>1354</v>
      </c>
      <c r="L168" t="s">
        <v>1510</v>
      </c>
      <c r="M168">
        <v>220.27</v>
      </c>
      <c r="N168">
        <v>2</v>
      </c>
      <c r="O168" t="s">
        <v>1550</v>
      </c>
      <c r="P168">
        <v>1</v>
      </c>
      <c r="Q168">
        <v>42</v>
      </c>
      <c r="R168" s="1">
        <v>45552</v>
      </c>
      <c r="S168" t="s">
        <v>1905</v>
      </c>
      <c r="T168">
        <f t="shared" si="22"/>
        <v>2</v>
      </c>
      <c r="U168">
        <f t="shared" si="23"/>
        <v>440.54</v>
      </c>
      <c r="V168">
        <f t="shared" si="24"/>
        <v>482.54</v>
      </c>
      <c r="W168">
        <f t="shared" si="25"/>
        <v>0.2</v>
      </c>
      <c r="X168">
        <f t="shared" si="26"/>
        <v>88.108000000000004</v>
      </c>
      <c r="Y168">
        <f t="shared" si="27"/>
        <v>394.43200000000002</v>
      </c>
      <c r="Z168" t="str">
        <f t="shared" si="28"/>
        <v>John Ramirez</v>
      </c>
      <c r="AA168" s="1" t="str">
        <f t="shared" si="29"/>
        <v>Late</v>
      </c>
      <c r="AB168" t="str">
        <f t="shared" si="30"/>
        <v>Sep</v>
      </c>
      <c r="AC168" s="9">
        <f t="shared" si="31"/>
        <v>2024</v>
      </c>
      <c r="AD168" t="str">
        <f t="shared" si="32"/>
        <v>outlook.com</v>
      </c>
    </row>
    <row r="169" spans="1:30" x14ac:dyDescent="0.3">
      <c r="A169" t="s">
        <v>73</v>
      </c>
      <c r="B169" t="s">
        <v>166</v>
      </c>
      <c r="C169" t="s">
        <v>251</v>
      </c>
      <c r="D169">
        <v>32</v>
      </c>
      <c r="E169" t="s">
        <v>290</v>
      </c>
      <c r="F169" t="s">
        <v>296</v>
      </c>
      <c r="G169" t="s">
        <v>354</v>
      </c>
      <c r="H169" t="s">
        <v>454</v>
      </c>
      <c r="I169" t="s">
        <v>666</v>
      </c>
      <c r="J169" s="1">
        <v>45125</v>
      </c>
      <c r="K169" t="s">
        <v>1166</v>
      </c>
      <c r="L169" t="s">
        <v>1539</v>
      </c>
      <c r="M169">
        <v>235.63</v>
      </c>
      <c r="N169">
        <v>5</v>
      </c>
      <c r="O169" t="s">
        <v>2047</v>
      </c>
      <c r="P169">
        <v>4</v>
      </c>
      <c r="Q169">
        <v>52</v>
      </c>
      <c r="R169" s="1">
        <v>45129</v>
      </c>
      <c r="S169" t="s">
        <v>1718</v>
      </c>
      <c r="T169">
        <f t="shared" si="22"/>
        <v>4</v>
      </c>
      <c r="U169">
        <f t="shared" si="23"/>
        <v>1178.1500000000001</v>
      </c>
      <c r="V169">
        <f t="shared" si="24"/>
        <v>1230.1500000000001</v>
      </c>
      <c r="W169">
        <f t="shared" si="25"/>
        <v>0.08</v>
      </c>
      <c r="X169">
        <f t="shared" si="26"/>
        <v>94.25200000000001</v>
      </c>
      <c r="Y169">
        <f t="shared" si="27"/>
        <v>1135.8980000000001</v>
      </c>
      <c r="Z169" t="str">
        <f t="shared" si="28"/>
        <v>Brandon Cruz</v>
      </c>
      <c r="AA169" s="1" t="str">
        <f t="shared" si="29"/>
        <v>In Time</v>
      </c>
      <c r="AB169" t="str">
        <f t="shared" si="30"/>
        <v>Jul</v>
      </c>
      <c r="AC169" s="9">
        <f t="shared" si="31"/>
        <v>2023</v>
      </c>
      <c r="AD169" t="str">
        <f t="shared" si="32"/>
        <v>gmail.com</v>
      </c>
    </row>
    <row r="170" spans="1:30" x14ac:dyDescent="0.3">
      <c r="A170" t="s">
        <v>80</v>
      </c>
      <c r="B170" t="s">
        <v>131</v>
      </c>
      <c r="C170" t="s">
        <v>257</v>
      </c>
      <c r="D170">
        <v>44</v>
      </c>
      <c r="E170" t="s">
        <v>290</v>
      </c>
      <c r="F170" t="s">
        <v>296</v>
      </c>
      <c r="G170" t="s">
        <v>361</v>
      </c>
      <c r="H170" t="s">
        <v>461</v>
      </c>
      <c r="I170" t="s">
        <v>667</v>
      </c>
      <c r="J170" s="1">
        <v>45186</v>
      </c>
      <c r="K170" t="s">
        <v>1167</v>
      </c>
      <c r="L170" t="s">
        <v>1498</v>
      </c>
      <c r="M170">
        <v>166.28</v>
      </c>
      <c r="N170">
        <v>4</v>
      </c>
      <c r="O170" t="s">
        <v>1550</v>
      </c>
      <c r="P170">
        <v>6</v>
      </c>
      <c r="Q170">
        <v>36</v>
      </c>
      <c r="R170" s="1">
        <v>45193</v>
      </c>
      <c r="S170" t="s">
        <v>1719</v>
      </c>
      <c r="T170">
        <f t="shared" si="22"/>
        <v>7</v>
      </c>
      <c r="U170">
        <f t="shared" si="23"/>
        <v>665.12</v>
      </c>
      <c r="V170">
        <f t="shared" si="24"/>
        <v>701.12</v>
      </c>
      <c r="W170">
        <f t="shared" si="25"/>
        <v>0.2</v>
      </c>
      <c r="X170">
        <f t="shared" si="26"/>
        <v>133.024</v>
      </c>
      <c r="Y170">
        <f t="shared" si="27"/>
        <v>568.096</v>
      </c>
      <c r="Z170" t="str">
        <f t="shared" si="28"/>
        <v>Amy Ellis</v>
      </c>
      <c r="AA170" s="1" t="str">
        <f t="shared" si="29"/>
        <v>Late</v>
      </c>
      <c r="AB170" t="str">
        <f t="shared" si="30"/>
        <v>Sep</v>
      </c>
      <c r="AC170" s="9">
        <f t="shared" si="31"/>
        <v>2023</v>
      </c>
      <c r="AD170" t="str">
        <f t="shared" si="32"/>
        <v>gmail.com</v>
      </c>
    </row>
    <row r="171" spans="1:30" x14ac:dyDescent="0.3">
      <c r="A171" t="s">
        <v>29</v>
      </c>
      <c r="B171" t="s">
        <v>129</v>
      </c>
      <c r="C171" t="s">
        <v>211</v>
      </c>
      <c r="D171">
        <v>30</v>
      </c>
      <c r="E171" t="s">
        <v>289</v>
      </c>
      <c r="F171" t="s">
        <v>292</v>
      </c>
      <c r="G171" t="s">
        <v>310</v>
      </c>
      <c r="H171" t="s">
        <v>410</v>
      </c>
      <c r="I171" t="s">
        <v>668</v>
      </c>
      <c r="J171" s="1">
        <v>45120</v>
      </c>
      <c r="K171" t="s">
        <v>1168</v>
      </c>
      <c r="L171" t="s">
        <v>1526</v>
      </c>
      <c r="M171">
        <v>405</v>
      </c>
      <c r="N171">
        <v>5</v>
      </c>
      <c r="O171" t="s">
        <v>1549</v>
      </c>
      <c r="P171">
        <v>6</v>
      </c>
      <c r="Q171">
        <v>36</v>
      </c>
      <c r="R171" s="1">
        <v>45127</v>
      </c>
      <c r="S171" t="s">
        <v>1720</v>
      </c>
      <c r="T171">
        <f t="shared" si="22"/>
        <v>7</v>
      </c>
      <c r="U171">
        <f t="shared" si="23"/>
        <v>2025</v>
      </c>
      <c r="V171">
        <f t="shared" si="24"/>
        <v>2061</v>
      </c>
      <c r="W171">
        <f t="shared" si="25"/>
        <v>0.1</v>
      </c>
      <c r="X171">
        <f t="shared" si="26"/>
        <v>202.5</v>
      </c>
      <c r="Y171">
        <f t="shared" si="27"/>
        <v>1858.5</v>
      </c>
      <c r="Z171" t="str">
        <f t="shared" si="28"/>
        <v>Joseph Stewart</v>
      </c>
      <c r="AA171" s="1" t="str">
        <f t="shared" si="29"/>
        <v>Late</v>
      </c>
      <c r="AB171" t="str">
        <f t="shared" si="30"/>
        <v>Jul</v>
      </c>
      <c r="AC171" s="9">
        <f t="shared" si="31"/>
        <v>2023</v>
      </c>
      <c r="AD171" t="str">
        <f t="shared" si="32"/>
        <v>yahoo.com</v>
      </c>
    </row>
    <row r="172" spans="1:30" x14ac:dyDescent="0.3">
      <c r="A172" t="s">
        <v>33</v>
      </c>
      <c r="B172" t="s">
        <v>133</v>
      </c>
      <c r="C172" t="s">
        <v>215</v>
      </c>
      <c r="D172">
        <v>46</v>
      </c>
      <c r="E172" t="s">
        <v>288</v>
      </c>
      <c r="F172" t="s">
        <v>297</v>
      </c>
      <c r="G172" t="s">
        <v>314</v>
      </c>
      <c r="H172" t="s">
        <v>414</v>
      </c>
      <c r="I172" t="s">
        <v>669</v>
      </c>
      <c r="J172" s="1">
        <v>45591</v>
      </c>
      <c r="K172" t="s">
        <v>1169</v>
      </c>
      <c r="L172" t="s">
        <v>1507</v>
      </c>
      <c r="M172">
        <v>257.06</v>
      </c>
      <c r="N172">
        <v>2</v>
      </c>
      <c r="O172" t="s">
        <v>1548</v>
      </c>
      <c r="P172">
        <v>7</v>
      </c>
      <c r="Q172">
        <v>59</v>
      </c>
      <c r="R172" s="1">
        <v>45592</v>
      </c>
      <c r="S172" t="s">
        <v>1721</v>
      </c>
      <c r="T172">
        <f t="shared" si="22"/>
        <v>1</v>
      </c>
      <c r="U172">
        <f t="shared" si="23"/>
        <v>514.12</v>
      </c>
      <c r="V172">
        <f t="shared" si="24"/>
        <v>573.12</v>
      </c>
      <c r="W172">
        <f t="shared" si="25"/>
        <v>0.15</v>
      </c>
      <c r="X172">
        <f t="shared" si="26"/>
        <v>77.117999999999995</v>
      </c>
      <c r="Y172">
        <f t="shared" si="27"/>
        <v>496.00200000000001</v>
      </c>
      <c r="Z172" t="str">
        <f t="shared" si="28"/>
        <v>Erin Miller</v>
      </c>
      <c r="AA172" s="1" t="str">
        <f t="shared" si="29"/>
        <v>Before Time</v>
      </c>
      <c r="AB172" t="str">
        <f t="shared" si="30"/>
        <v>Oct</v>
      </c>
      <c r="AC172" s="9">
        <f t="shared" si="31"/>
        <v>2024</v>
      </c>
      <c r="AD172" t="str">
        <f t="shared" si="32"/>
        <v>gmail.com</v>
      </c>
    </row>
    <row r="173" spans="1:30" x14ac:dyDescent="0.3">
      <c r="A173" t="s">
        <v>47</v>
      </c>
      <c r="B173" t="s">
        <v>145</v>
      </c>
      <c r="C173" t="s">
        <v>228</v>
      </c>
      <c r="D173">
        <v>24</v>
      </c>
      <c r="E173" t="s">
        <v>290</v>
      </c>
      <c r="F173" t="s">
        <v>298</v>
      </c>
      <c r="G173" t="s">
        <v>328</v>
      </c>
      <c r="H173" t="s">
        <v>428</v>
      </c>
      <c r="I173" t="s">
        <v>652</v>
      </c>
      <c r="J173" s="1">
        <v>45525</v>
      </c>
      <c r="K173" t="s">
        <v>1152</v>
      </c>
      <c r="L173" t="s">
        <v>1500</v>
      </c>
      <c r="M173">
        <v>44.5</v>
      </c>
      <c r="N173">
        <v>4</v>
      </c>
      <c r="O173" t="s">
        <v>2047</v>
      </c>
      <c r="P173">
        <v>5</v>
      </c>
      <c r="Q173">
        <v>40</v>
      </c>
      <c r="R173" s="1">
        <v>45531</v>
      </c>
      <c r="S173" t="s">
        <v>1704</v>
      </c>
      <c r="T173">
        <f t="shared" si="22"/>
        <v>6</v>
      </c>
      <c r="U173">
        <f t="shared" si="23"/>
        <v>178</v>
      </c>
      <c r="V173">
        <f t="shared" si="24"/>
        <v>218</v>
      </c>
      <c r="W173">
        <f t="shared" si="25"/>
        <v>0.08</v>
      </c>
      <c r="X173">
        <f t="shared" si="26"/>
        <v>14.24</v>
      </c>
      <c r="Y173">
        <f t="shared" si="27"/>
        <v>203.76</v>
      </c>
      <c r="Z173" t="str">
        <f t="shared" si="28"/>
        <v>Rachael Robinson</v>
      </c>
      <c r="AA173" s="1" t="str">
        <f t="shared" si="29"/>
        <v>Late</v>
      </c>
      <c r="AB173" t="str">
        <f t="shared" si="30"/>
        <v>Aug</v>
      </c>
      <c r="AC173" s="9">
        <f t="shared" si="31"/>
        <v>2024</v>
      </c>
      <c r="AD173" t="str">
        <f t="shared" si="32"/>
        <v>rediffmail.com</v>
      </c>
    </row>
    <row r="174" spans="1:30" x14ac:dyDescent="0.3">
      <c r="A174" t="s">
        <v>80</v>
      </c>
      <c r="B174" t="s">
        <v>131</v>
      </c>
      <c r="C174" t="s">
        <v>257</v>
      </c>
      <c r="D174">
        <v>44</v>
      </c>
      <c r="E174" t="s">
        <v>290</v>
      </c>
      <c r="F174" t="s">
        <v>296</v>
      </c>
      <c r="G174" t="s">
        <v>361</v>
      </c>
      <c r="H174" t="s">
        <v>461</v>
      </c>
      <c r="I174" t="s">
        <v>671</v>
      </c>
      <c r="J174" s="1">
        <v>45561</v>
      </c>
      <c r="K174" t="s">
        <v>1171</v>
      </c>
      <c r="L174" t="s">
        <v>1500</v>
      </c>
      <c r="M174">
        <v>44.5</v>
      </c>
      <c r="N174">
        <v>2</v>
      </c>
      <c r="O174" t="s">
        <v>1548</v>
      </c>
      <c r="P174">
        <v>5</v>
      </c>
      <c r="Q174">
        <v>52</v>
      </c>
      <c r="R174" s="1">
        <v>45563</v>
      </c>
      <c r="S174" t="s">
        <v>1723</v>
      </c>
      <c r="T174">
        <f t="shared" si="22"/>
        <v>2</v>
      </c>
      <c r="U174">
        <f t="shared" si="23"/>
        <v>89</v>
      </c>
      <c r="V174">
        <f t="shared" si="24"/>
        <v>141</v>
      </c>
      <c r="W174">
        <f t="shared" si="25"/>
        <v>0.15</v>
      </c>
      <c r="X174">
        <f t="shared" si="26"/>
        <v>13.35</v>
      </c>
      <c r="Y174">
        <f t="shared" si="27"/>
        <v>127.65</v>
      </c>
      <c r="Z174" t="str">
        <f t="shared" si="28"/>
        <v>Amy Ellis</v>
      </c>
      <c r="AA174" s="1" t="str">
        <f t="shared" si="29"/>
        <v>Before Time</v>
      </c>
      <c r="AB174" t="str">
        <f t="shared" si="30"/>
        <v>Sep</v>
      </c>
      <c r="AC174" s="9">
        <f t="shared" si="31"/>
        <v>2024</v>
      </c>
      <c r="AD174" t="str">
        <f t="shared" si="32"/>
        <v>gmail.com</v>
      </c>
    </row>
    <row r="175" spans="1:30" x14ac:dyDescent="0.3">
      <c r="A175" t="s">
        <v>79</v>
      </c>
      <c r="B175" t="s">
        <v>129</v>
      </c>
      <c r="C175" t="s">
        <v>256</v>
      </c>
      <c r="D175">
        <v>47</v>
      </c>
      <c r="E175" t="s">
        <v>290</v>
      </c>
      <c r="F175" t="s">
        <v>295</v>
      </c>
      <c r="G175" t="s">
        <v>360</v>
      </c>
      <c r="H175" t="s">
        <v>460</v>
      </c>
      <c r="I175" t="s">
        <v>951</v>
      </c>
      <c r="J175" s="1">
        <v>45051</v>
      </c>
      <c r="K175" t="s">
        <v>1450</v>
      </c>
      <c r="L175" t="s">
        <v>1523</v>
      </c>
      <c r="M175">
        <v>129.75</v>
      </c>
      <c r="N175">
        <v>5</v>
      </c>
      <c r="O175" t="s">
        <v>1547</v>
      </c>
      <c r="P175">
        <v>3</v>
      </c>
      <c r="Q175">
        <v>43</v>
      </c>
      <c r="R175" s="1">
        <v>45057</v>
      </c>
      <c r="S175" t="s">
        <v>1999</v>
      </c>
      <c r="T175">
        <f t="shared" si="22"/>
        <v>6</v>
      </c>
      <c r="U175">
        <f t="shared" si="23"/>
        <v>648.75</v>
      </c>
      <c r="V175">
        <f t="shared" si="24"/>
        <v>648.75</v>
      </c>
      <c r="W175">
        <f t="shared" si="25"/>
        <v>0</v>
      </c>
      <c r="X175">
        <f t="shared" si="26"/>
        <v>0</v>
      </c>
      <c r="Y175">
        <f t="shared" si="27"/>
        <v>648.75</v>
      </c>
      <c r="Z175" t="str">
        <f t="shared" si="28"/>
        <v>Joseph Gaines</v>
      </c>
      <c r="AA175" s="1" t="str">
        <f t="shared" si="29"/>
        <v>Late</v>
      </c>
      <c r="AB175" t="str">
        <f t="shared" si="30"/>
        <v>May</v>
      </c>
      <c r="AC175" s="9">
        <f t="shared" si="31"/>
        <v>2023</v>
      </c>
      <c r="AD175" t="str">
        <f t="shared" si="32"/>
        <v>outlook.com</v>
      </c>
    </row>
    <row r="176" spans="1:30" x14ac:dyDescent="0.3">
      <c r="A176" t="s">
        <v>82</v>
      </c>
      <c r="B176" t="s">
        <v>172</v>
      </c>
      <c r="C176" t="s">
        <v>259</v>
      </c>
      <c r="D176">
        <v>38</v>
      </c>
      <c r="E176" t="s">
        <v>289</v>
      </c>
      <c r="F176" t="s">
        <v>298</v>
      </c>
      <c r="G176" t="s">
        <v>363</v>
      </c>
      <c r="H176" t="s">
        <v>463</v>
      </c>
      <c r="I176" t="s">
        <v>673</v>
      </c>
      <c r="J176" s="1">
        <v>45318</v>
      </c>
      <c r="K176" t="s">
        <v>1173</v>
      </c>
      <c r="L176" t="s">
        <v>1520</v>
      </c>
      <c r="M176">
        <v>62.42</v>
      </c>
      <c r="N176">
        <v>4</v>
      </c>
      <c r="O176" t="s">
        <v>1550</v>
      </c>
      <c r="P176">
        <v>4</v>
      </c>
      <c r="Q176">
        <v>37</v>
      </c>
      <c r="R176" s="1">
        <v>45321</v>
      </c>
      <c r="S176" t="s">
        <v>1725</v>
      </c>
      <c r="T176">
        <f t="shared" si="22"/>
        <v>3</v>
      </c>
      <c r="U176">
        <f t="shared" si="23"/>
        <v>249.68</v>
      </c>
      <c r="V176">
        <f t="shared" si="24"/>
        <v>286.68</v>
      </c>
      <c r="W176">
        <f t="shared" si="25"/>
        <v>0.2</v>
      </c>
      <c r="X176">
        <f t="shared" si="26"/>
        <v>49.936000000000007</v>
      </c>
      <c r="Y176">
        <f t="shared" si="27"/>
        <v>236.744</v>
      </c>
      <c r="Z176" t="str">
        <f t="shared" si="28"/>
        <v>Christy Chang</v>
      </c>
      <c r="AA176" s="1" t="str">
        <f t="shared" si="29"/>
        <v>Before Time</v>
      </c>
      <c r="AB176" t="str">
        <f t="shared" si="30"/>
        <v>Jan</v>
      </c>
      <c r="AC176" s="9">
        <f t="shared" si="31"/>
        <v>2024</v>
      </c>
      <c r="AD176" t="str">
        <f t="shared" si="32"/>
        <v>outlook.com</v>
      </c>
    </row>
    <row r="177" spans="1:30" x14ac:dyDescent="0.3">
      <c r="A177" t="s">
        <v>88</v>
      </c>
      <c r="B177" t="s">
        <v>178</v>
      </c>
      <c r="C177" t="s">
        <v>215</v>
      </c>
      <c r="D177">
        <v>70</v>
      </c>
      <c r="E177" t="s">
        <v>289</v>
      </c>
      <c r="F177" t="s">
        <v>296</v>
      </c>
      <c r="G177" t="s">
        <v>369</v>
      </c>
      <c r="H177" t="s">
        <v>469</v>
      </c>
      <c r="I177" t="s">
        <v>674</v>
      </c>
      <c r="J177" s="1">
        <v>45508</v>
      </c>
      <c r="K177" t="s">
        <v>1174</v>
      </c>
      <c r="L177" t="s">
        <v>1519</v>
      </c>
      <c r="M177">
        <v>421.7</v>
      </c>
      <c r="N177">
        <v>4</v>
      </c>
      <c r="O177" t="s">
        <v>2047</v>
      </c>
      <c r="P177">
        <v>7</v>
      </c>
      <c r="Q177">
        <v>69</v>
      </c>
      <c r="R177" s="1">
        <v>45514</v>
      </c>
      <c r="S177" t="s">
        <v>1726</v>
      </c>
      <c r="T177">
        <f t="shared" si="22"/>
        <v>6</v>
      </c>
      <c r="U177">
        <f t="shared" si="23"/>
        <v>1686.8</v>
      </c>
      <c r="V177">
        <f t="shared" si="24"/>
        <v>1755.8</v>
      </c>
      <c r="W177">
        <f t="shared" si="25"/>
        <v>0.08</v>
      </c>
      <c r="X177">
        <f t="shared" si="26"/>
        <v>134.94399999999999</v>
      </c>
      <c r="Y177">
        <f t="shared" si="27"/>
        <v>1620.856</v>
      </c>
      <c r="Z177" t="str">
        <f t="shared" si="28"/>
        <v>Lisa Miller</v>
      </c>
      <c r="AA177" s="1" t="str">
        <f t="shared" si="29"/>
        <v>Before Time</v>
      </c>
      <c r="AB177" t="str">
        <f t="shared" si="30"/>
        <v>Aug</v>
      </c>
      <c r="AC177" s="9">
        <f t="shared" si="31"/>
        <v>2024</v>
      </c>
      <c r="AD177" t="str">
        <f t="shared" si="32"/>
        <v>gmail.com</v>
      </c>
    </row>
    <row r="178" spans="1:30" x14ac:dyDescent="0.3">
      <c r="A178" t="s">
        <v>30</v>
      </c>
      <c r="B178" t="s">
        <v>130</v>
      </c>
      <c r="C178" t="s">
        <v>212</v>
      </c>
      <c r="D178">
        <v>25</v>
      </c>
      <c r="E178" t="s">
        <v>290</v>
      </c>
      <c r="F178" t="s">
        <v>294</v>
      </c>
      <c r="G178" t="s">
        <v>311</v>
      </c>
      <c r="H178" t="s">
        <v>411</v>
      </c>
      <c r="I178" t="s">
        <v>675</v>
      </c>
      <c r="J178" s="1">
        <v>45580</v>
      </c>
      <c r="K178" t="s">
        <v>1175</v>
      </c>
      <c r="L178" t="s">
        <v>1546</v>
      </c>
      <c r="M178">
        <v>33.49</v>
      </c>
      <c r="N178">
        <v>1</v>
      </c>
      <c r="O178" t="s">
        <v>1547</v>
      </c>
      <c r="P178">
        <v>1</v>
      </c>
      <c r="Q178">
        <v>59</v>
      </c>
      <c r="R178" s="1">
        <v>45585</v>
      </c>
      <c r="S178" t="s">
        <v>1727</v>
      </c>
      <c r="T178">
        <f t="shared" si="22"/>
        <v>5</v>
      </c>
      <c r="U178">
        <f t="shared" si="23"/>
        <v>33.49</v>
      </c>
      <c r="V178">
        <f t="shared" si="24"/>
        <v>33.49</v>
      </c>
      <c r="W178">
        <f t="shared" si="25"/>
        <v>0</v>
      </c>
      <c r="X178">
        <f t="shared" si="26"/>
        <v>0</v>
      </c>
      <c r="Y178">
        <f t="shared" si="27"/>
        <v>33.49</v>
      </c>
      <c r="Z178" t="str">
        <f t="shared" si="28"/>
        <v>Kara Brennan</v>
      </c>
      <c r="AA178" s="1" t="str">
        <f t="shared" si="29"/>
        <v>Late</v>
      </c>
      <c r="AB178" t="str">
        <f t="shared" si="30"/>
        <v>Oct</v>
      </c>
      <c r="AC178" s="9">
        <f t="shared" si="31"/>
        <v>2024</v>
      </c>
      <c r="AD178" t="str">
        <f t="shared" si="32"/>
        <v>outlook.com</v>
      </c>
    </row>
    <row r="179" spans="1:30" x14ac:dyDescent="0.3">
      <c r="A179" t="s">
        <v>102</v>
      </c>
      <c r="B179" t="s">
        <v>190</v>
      </c>
      <c r="C179" t="s">
        <v>276</v>
      </c>
      <c r="D179">
        <v>49</v>
      </c>
      <c r="E179" t="s">
        <v>288</v>
      </c>
      <c r="F179" t="s">
        <v>292</v>
      </c>
      <c r="G179" t="s">
        <v>383</v>
      </c>
      <c r="H179" t="s">
        <v>483</v>
      </c>
      <c r="I179" t="s">
        <v>676</v>
      </c>
      <c r="J179" s="1">
        <v>45478</v>
      </c>
      <c r="K179" t="s">
        <v>1176</v>
      </c>
      <c r="L179" t="s">
        <v>1511</v>
      </c>
      <c r="M179">
        <v>272.51</v>
      </c>
      <c r="N179">
        <v>4</v>
      </c>
      <c r="O179" t="s">
        <v>1547</v>
      </c>
      <c r="P179">
        <v>1</v>
      </c>
      <c r="Q179">
        <v>51</v>
      </c>
      <c r="R179" s="1">
        <v>45480</v>
      </c>
      <c r="S179" t="s">
        <v>1728</v>
      </c>
      <c r="T179">
        <f t="shared" si="22"/>
        <v>2</v>
      </c>
      <c r="U179">
        <f t="shared" si="23"/>
        <v>1090.04</v>
      </c>
      <c r="V179">
        <f t="shared" si="24"/>
        <v>1090.04</v>
      </c>
      <c r="W179">
        <f t="shared" si="25"/>
        <v>0</v>
      </c>
      <c r="X179">
        <f t="shared" si="26"/>
        <v>0</v>
      </c>
      <c r="Y179">
        <f t="shared" si="27"/>
        <v>1090.04</v>
      </c>
      <c r="Z179" t="str">
        <f t="shared" si="28"/>
        <v>Natasha Michael</v>
      </c>
      <c r="AA179" s="1" t="str">
        <f t="shared" si="29"/>
        <v>Late</v>
      </c>
      <c r="AB179" t="str">
        <f t="shared" si="30"/>
        <v>Jul</v>
      </c>
      <c r="AC179" s="9">
        <f t="shared" si="31"/>
        <v>2024</v>
      </c>
      <c r="AD179" t="str">
        <f t="shared" si="32"/>
        <v>gmail.com</v>
      </c>
    </row>
    <row r="180" spans="1:30" x14ac:dyDescent="0.3">
      <c r="A180" t="s">
        <v>42</v>
      </c>
      <c r="B180" t="s">
        <v>140</v>
      </c>
      <c r="C180" t="s">
        <v>223</v>
      </c>
      <c r="D180">
        <v>51</v>
      </c>
      <c r="E180" t="s">
        <v>290</v>
      </c>
      <c r="F180" t="s">
        <v>294</v>
      </c>
      <c r="G180" t="s">
        <v>323</v>
      </c>
      <c r="H180" t="s">
        <v>423</v>
      </c>
      <c r="I180" t="s">
        <v>910</v>
      </c>
      <c r="J180" s="1">
        <v>45010</v>
      </c>
      <c r="K180" t="s">
        <v>1410</v>
      </c>
      <c r="L180" t="s">
        <v>1541</v>
      </c>
      <c r="M180">
        <v>133.62</v>
      </c>
      <c r="N180">
        <v>2</v>
      </c>
      <c r="O180" t="s">
        <v>2047</v>
      </c>
      <c r="P180">
        <v>1</v>
      </c>
      <c r="Q180">
        <v>48</v>
      </c>
      <c r="R180" s="1">
        <v>45015</v>
      </c>
      <c r="S180" t="s">
        <v>1959</v>
      </c>
      <c r="T180">
        <f t="shared" si="22"/>
        <v>5</v>
      </c>
      <c r="U180">
        <f t="shared" si="23"/>
        <v>267.24</v>
      </c>
      <c r="V180">
        <f t="shared" si="24"/>
        <v>315.24</v>
      </c>
      <c r="W180">
        <f t="shared" si="25"/>
        <v>0.08</v>
      </c>
      <c r="X180">
        <f t="shared" si="26"/>
        <v>21.379200000000001</v>
      </c>
      <c r="Y180">
        <f t="shared" si="27"/>
        <v>293.86079999999998</v>
      </c>
      <c r="Z180" t="str">
        <f t="shared" si="28"/>
        <v>Jason Nguyen</v>
      </c>
      <c r="AA180" s="1" t="str">
        <f t="shared" si="29"/>
        <v>Late</v>
      </c>
      <c r="AB180" t="str">
        <f t="shared" si="30"/>
        <v>Mar</v>
      </c>
      <c r="AC180" s="9">
        <f t="shared" si="31"/>
        <v>2023</v>
      </c>
      <c r="AD180" t="str">
        <f t="shared" si="32"/>
        <v>yahoo.com</v>
      </c>
    </row>
    <row r="181" spans="1:30" x14ac:dyDescent="0.3">
      <c r="A181" t="s">
        <v>92</v>
      </c>
      <c r="B181" t="s">
        <v>181</v>
      </c>
      <c r="C181" t="s">
        <v>268</v>
      </c>
      <c r="D181">
        <v>27</v>
      </c>
      <c r="E181" t="s">
        <v>288</v>
      </c>
      <c r="F181" t="s">
        <v>292</v>
      </c>
      <c r="G181" t="s">
        <v>373</v>
      </c>
      <c r="H181" t="s">
        <v>473</v>
      </c>
      <c r="I181" t="s">
        <v>678</v>
      </c>
      <c r="J181" s="1">
        <v>45132</v>
      </c>
      <c r="K181" t="s">
        <v>1178</v>
      </c>
      <c r="L181" t="s">
        <v>1507</v>
      </c>
      <c r="M181">
        <v>257.06</v>
      </c>
      <c r="N181">
        <v>4</v>
      </c>
      <c r="O181" t="s">
        <v>1547</v>
      </c>
      <c r="P181">
        <v>5</v>
      </c>
      <c r="Q181">
        <v>52</v>
      </c>
      <c r="R181" s="1">
        <v>45136</v>
      </c>
      <c r="S181" t="s">
        <v>1730</v>
      </c>
      <c r="T181">
        <f t="shared" si="22"/>
        <v>4</v>
      </c>
      <c r="U181">
        <f t="shared" si="23"/>
        <v>1028.24</v>
      </c>
      <c r="V181">
        <f t="shared" si="24"/>
        <v>1028.24</v>
      </c>
      <c r="W181">
        <f t="shared" si="25"/>
        <v>0</v>
      </c>
      <c r="X181">
        <f t="shared" si="26"/>
        <v>0</v>
      </c>
      <c r="Y181">
        <f t="shared" si="27"/>
        <v>1028.24</v>
      </c>
      <c r="Z181" t="str">
        <f t="shared" si="28"/>
        <v>Kristina Haynes</v>
      </c>
      <c r="AA181" s="1" t="str">
        <f t="shared" si="29"/>
        <v>Before Time</v>
      </c>
      <c r="AB181" t="str">
        <f t="shared" si="30"/>
        <v>Jul</v>
      </c>
      <c r="AC181" s="9">
        <f t="shared" si="31"/>
        <v>2023</v>
      </c>
      <c r="AD181" t="str">
        <f t="shared" si="32"/>
        <v>yahoo.com</v>
      </c>
    </row>
    <row r="182" spans="1:30" x14ac:dyDescent="0.3">
      <c r="A182" t="s">
        <v>30</v>
      </c>
      <c r="B182" t="s">
        <v>130</v>
      </c>
      <c r="C182" t="s">
        <v>212</v>
      </c>
      <c r="D182">
        <v>25</v>
      </c>
      <c r="E182" t="s">
        <v>290</v>
      </c>
      <c r="F182" t="s">
        <v>294</v>
      </c>
      <c r="G182" t="s">
        <v>311</v>
      </c>
      <c r="H182" t="s">
        <v>411</v>
      </c>
      <c r="I182" t="s">
        <v>679</v>
      </c>
      <c r="J182" s="1">
        <v>45457</v>
      </c>
      <c r="K182" t="s">
        <v>1179</v>
      </c>
      <c r="L182" t="s">
        <v>1542</v>
      </c>
      <c r="M182">
        <v>20</v>
      </c>
      <c r="N182">
        <v>5</v>
      </c>
      <c r="O182" t="s">
        <v>1548</v>
      </c>
      <c r="P182">
        <v>6</v>
      </c>
      <c r="Q182">
        <v>36</v>
      </c>
      <c r="R182" s="1">
        <v>45463</v>
      </c>
      <c r="S182" t="s">
        <v>1731</v>
      </c>
      <c r="T182">
        <f t="shared" si="22"/>
        <v>6</v>
      </c>
      <c r="U182">
        <f t="shared" si="23"/>
        <v>100</v>
      </c>
      <c r="V182">
        <f t="shared" si="24"/>
        <v>136</v>
      </c>
      <c r="W182">
        <f t="shared" si="25"/>
        <v>0.15</v>
      </c>
      <c r="X182">
        <f t="shared" si="26"/>
        <v>15</v>
      </c>
      <c r="Y182">
        <f t="shared" si="27"/>
        <v>121</v>
      </c>
      <c r="Z182" t="str">
        <f t="shared" si="28"/>
        <v>Kara Brennan</v>
      </c>
      <c r="AA182" s="1" t="str">
        <f t="shared" si="29"/>
        <v>In Time</v>
      </c>
      <c r="AB182" t="str">
        <f t="shared" si="30"/>
        <v>Jun</v>
      </c>
      <c r="AC182" s="9">
        <f t="shared" si="31"/>
        <v>2024</v>
      </c>
      <c r="AD182" t="str">
        <f t="shared" si="32"/>
        <v>outlook.com</v>
      </c>
    </row>
    <row r="183" spans="1:30" x14ac:dyDescent="0.3">
      <c r="A183" t="s">
        <v>87</v>
      </c>
      <c r="B183" t="s">
        <v>177</v>
      </c>
      <c r="C183" t="s">
        <v>264</v>
      </c>
      <c r="D183">
        <v>32</v>
      </c>
      <c r="E183" t="s">
        <v>289</v>
      </c>
      <c r="F183" t="s">
        <v>291</v>
      </c>
      <c r="G183" t="s">
        <v>368</v>
      </c>
      <c r="H183" t="s">
        <v>468</v>
      </c>
      <c r="I183" t="s">
        <v>680</v>
      </c>
      <c r="J183" s="1">
        <v>45343</v>
      </c>
      <c r="K183" t="s">
        <v>1180</v>
      </c>
      <c r="L183" t="s">
        <v>1539</v>
      </c>
      <c r="M183">
        <v>235.63</v>
      </c>
      <c r="N183">
        <v>3</v>
      </c>
      <c r="O183" t="s">
        <v>1549</v>
      </c>
      <c r="P183">
        <v>5</v>
      </c>
      <c r="Q183">
        <v>44</v>
      </c>
      <c r="R183" s="1">
        <v>45347</v>
      </c>
      <c r="S183" t="s">
        <v>1732</v>
      </c>
      <c r="T183">
        <f t="shared" si="22"/>
        <v>4</v>
      </c>
      <c r="U183">
        <f t="shared" si="23"/>
        <v>706.89</v>
      </c>
      <c r="V183">
        <f t="shared" si="24"/>
        <v>750.89</v>
      </c>
      <c r="W183">
        <f t="shared" si="25"/>
        <v>0.1</v>
      </c>
      <c r="X183">
        <f t="shared" si="26"/>
        <v>70.689000000000007</v>
      </c>
      <c r="Y183">
        <f t="shared" si="27"/>
        <v>680.20100000000002</v>
      </c>
      <c r="Z183" t="str">
        <f t="shared" si="28"/>
        <v>Bruce Allen</v>
      </c>
      <c r="AA183" s="1" t="str">
        <f t="shared" si="29"/>
        <v>Before Time</v>
      </c>
      <c r="AB183" t="str">
        <f t="shared" si="30"/>
        <v>Feb</v>
      </c>
      <c r="AC183" s="9">
        <f t="shared" si="31"/>
        <v>2024</v>
      </c>
      <c r="AD183" t="str">
        <f t="shared" si="32"/>
        <v>rediffmail.com</v>
      </c>
    </row>
    <row r="184" spans="1:30" x14ac:dyDescent="0.3">
      <c r="A184" t="s">
        <v>18</v>
      </c>
      <c r="B184" t="s">
        <v>118</v>
      </c>
      <c r="C184" t="s">
        <v>201</v>
      </c>
      <c r="D184">
        <v>37</v>
      </c>
      <c r="E184" t="s">
        <v>288</v>
      </c>
      <c r="F184" t="s">
        <v>291</v>
      </c>
      <c r="G184" t="s">
        <v>299</v>
      </c>
      <c r="H184" t="s">
        <v>399</v>
      </c>
      <c r="I184" t="s">
        <v>681</v>
      </c>
      <c r="J184" s="1">
        <v>45095</v>
      </c>
      <c r="K184" t="s">
        <v>1181</v>
      </c>
      <c r="L184" t="s">
        <v>1541</v>
      </c>
      <c r="M184">
        <v>133.62</v>
      </c>
      <c r="N184">
        <v>5</v>
      </c>
      <c r="O184" t="s">
        <v>1547</v>
      </c>
      <c r="P184">
        <v>7</v>
      </c>
      <c r="Q184">
        <v>58</v>
      </c>
      <c r="R184" s="1">
        <v>45098</v>
      </c>
      <c r="S184" t="s">
        <v>1733</v>
      </c>
      <c r="T184">
        <f t="shared" si="22"/>
        <v>3</v>
      </c>
      <c r="U184">
        <f t="shared" si="23"/>
        <v>668.1</v>
      </c>
      <c r="V184">
        <f t="shared" si="24"/>
        <v>668.1</v>
      </c>
      <c r="W184">
        <f t="shared" si="25"/>
        <v>0</v>
      </c>
      <c r="X184">
        <f t="shared" si="26"/>
        <v>0</v>
      </c>
      <c r="Y184">
        <f t="shared" si="27"/>
        <v>668.1</v>
      </c>
      <c r="Z184" t="str">
        <f t="shared" si="28"/>
        <v>Anne Oconnell</v>
      </c>
      <c r="AA184" s="1" t="str">
        <f t="shared" si="29"/>
        <v>Before Time</v>
      </c>
      <c r="AB184" t="str">
        <f t="shared" si="30"/>
        <v>Jun</v>
      </c>
      <c r="AC184" s="9">
        <f t="shared" si="31"/>
        <v>2023</v>
      </c>
      <c r="AD184" t="str">
        <f t="shared" si="32"/>
        <v>outlook.com</v>
      </c>
    </row>
    <row r="185" spans="1:30" x14ac:dyDescent="0.3">
      <c r="A185" t="s">
        <v>68</v>
      </c>
      <c r="B185" t="s">
        <v>162</v>
      </c>
      <c r="C185" t="s">
        <v>232</v>
      </c>
      <c r="D185">
        <v>39</v>
      </c>
      <c r="E185" t="s">
        <v>290</v>
      </c>
      <c r="F185" t="s">
        <v>292</v>
      </c>
      <c r="G185" t="s">
        <v>349</v>
      </c>
      <c r="H185" t="s">
        <v>449</v>
      </c>
      <c r="I185" t="s">
        <v>682</v>
      </c>
      <c r="J185" s="1">
        <v>45651</v>
      </c>
      <c r="K185" t="s">
        <v>1182</v>
      </c>
      <c r="L185" t="s">
        <v>1519</v>
      </c>
      <c r="M185">
        <v>421.7</v>
      </c>
      <c r="N185">
        <v>2</v>
      </c>
      <c r="O185" t="s">
        <v>2047</v>
      </c>
      <c r="P185">
        <v>5</v>
      </c>
      <c r="Q185">
        <v>45</v>
      </c>
      <c r="R185" s="1">
        <v>45653</v>
      </c>
      <c r="S185" t="s">
        <v>1734</v>
      </c>
      <c r="T185">
        <f t="shared" si="22"/>
        <v>2</v>
      </c>
      <c r="U185">
        <f t="shared" si="23"/>
        <v>843.4</v>
      </c>
      <c r="V185">
        <f t="shared" si="24"/>
        <v>888.4</v>
      </c>
      <c r="W185">
        <f t="shared" si="25"/>
        <v>0.08</v>
      </c>
      <c r="X185">
        <f t="shared" si="26"/>
        <v>67.471999999999994</v>
      </c>
      <c r="Y185">
        <f t="shared" si="27"/>
        <v>820.928</v>
      </c>
      <c r="Z185" t="str">
        <f t="shared" si="28"/>
        <v>Mitchell Parker</v>
      </c>
      <c r="AA185" s="1" t="str">
        <f t="shared" si="29"/>
        <v>Before Time</v>
      </c>
      <c r="AB185" t="str">
        <f t="shared" si="30"/>
        <v>Dec</v>
      </c>
      <c r="AC185" s="9">
        <f t="shared" si="31"/>
        <v>2024</v>
      </c>
      <c r="AD185" t="str">
        <f t="shared" si="32"/>
        <v>yahoo.com</v>
      </c>
    </row>
    <row r="186" spans="1:30" x14ac:dyDescent="0.3">
      <c r="A186" t="s">
        <v>35</v>
      </c>
      <c r="B186" t="s">
        <v>135</v>
      </c>
      <c r="C186" t="s">
        <v>162</v>
      </c>
      <c r="D186">
        <v>42</v>
      </c>
      <c r="E186" t="s">
        <v>289</v>
      </c>
      <c r="F186" t="s">
        <v>297</v>
      </c>
      <c r="G186" t="s">
        <v>316</v>
      </c>
      <c r="H186" t="s">
        <v>416</v>
      </c>
      <c r="I186" t="s">
        <v>683</v>
      </c>
      <c r="J186" s="1">
        <v>45455</v>
      </c>
      <c r="K186" t="s">
        <v>1183</v>
      </c>
      <c r="L186" t="s">
        <v>1506</v>
      </c>
      <c r="M186">
        <v>372.62</v>
      </c>
      <c r="N186">
        <v>1</v>
      </c>
      <c r="O186" t="s">
        <v>1548</v>
      </c>
      <c r="P186">
        <v>3</v>
      </c>
      <c r="Q186">
        <v>35</v>
      </c>
      <c r="R186" s="1">
        <v>45458</v>
      </c>
      <c r="S186" t="s">
        <v>1735</v>
      </c>
      <c r="T186">
        <f t="shared" si="22"/>
        <v>3</v>
      </c>
      <c r="U186">
        <f t="shared" si="23"/>
        <v>372.62</v>
      </c>
      <c r="V186">
        <f t="shared" si="24"/>
        <v>407.62</v>
      </c>
      <c r="W186">
        <f t="shared" si="25"/>
        <v>0.15</v>
      </c>
      <c r="X186">
        <f t="shared" si="26"/>
        <v>55.893000000000001</v>
      </c>
      <c r="Y186">
        <f t="shared" si="27"/>
        <v>351.72699999999998</v>
      </c>
      <c r="Z186" t="str">
        <f t="shared" si="28"/>
        <v>Mallory Mitchell</v>
      </c>
      <c r="AA186" s="1" t="str">
        <f t="shared" si="29"/>
        <v>In Time</v>
      </c>
      <c r="AB186" t="str">
        <f t="shared" si="30"/>
        <v>Jun</v>
      </c>
      <c r="AC186" s="9">
        <f t="shared" si="31"/>
        <v>2024</v>
      </c>
      <c r="AD186" t="str">
        <f t="shared" si="32"/>
        <v>yahoo.com</v>
      </c>
    </row>
    <row r="187" spans="1:30" x14ac:dyDescent="0.3">
      <c r="A187" t="s">
        <v>73</v>
      </c>
      <c r="B187" t="s">
        <v>166</v>
      </c>
      <c r="C187" t="s">
        <v>251</v>
      </c>
      <c r="D187">
        <v>32</v>
      </c>
      <c r="E187" t="s">
        <v>290</v>
      </c>
      <c r="F187" t="s">
        <v>296</v>
      </c>
      <c r="G187" t="s">
        <v>354</v>
      </c>
      <c r="H187" t="s">
        <v>454</v>
      </c>
      <c r="I187" t="s">
        <v>684</v>
      </c>
      <c r="J187" s="1">
        <v>45455</v>
      </c>
      <c r="K187" t="s">
        <v>1184</v>
      </c>
      <c r="L187" t="s">
        <v>1503</v>
      </c>
      <c r="M187">
        <v>363.64</v>
      </c>
      <c r="N187">
        <v>3</v>
      </c>
      <c r="O187" t="s">
        <v>1547</v>
      </c>
      <c r="P187">
        <v>3</v>
      </c>
      <c r="Q187">
        <v>70</v>
      </c>
      <c r="R187" s="1">
        <v>45461</v>
      </c>
      <c r="S187" t="s">
        <v>1736</v>
      </c>
      <c r="T187">
        <f t="shared" si="22"/>
        <v>6</v>
      </c>
      <c r="U187">
        <f t="shared" si="23"/>
        <v>1090.92</v>
      </c>
      <c r="V187">
        <f t="shared" si="24"/>
        <v>1090.92</v>
      </c>
      <c r="W187">
        <f t="shared" si="25"/>
        <v>0</v>
      </c>
      <c r="X187">
        <f t="shared" si="26"/>
        <v>0</v>
      </c>
      <c r="Y187">
        <f t="shared" si="27"/>
        <v>1090.92</v>
      </c>
      <c r="Z187" t="str">
        <f t="shared" si="28"/>
        <v>Brandon Cruz</v>
      </c>
      <c r="AA187" s="1" t="str">
        <f t="shared" si="29"/>
        <v>Late</v>
      </c>
      <c r="AB187" t="str">
        <f t="shared" si="30"/>
        <v>Jun</v>
      </c>
      <c r="AC187" s="9">
        <f t="shared" si="31"/>
        <v>2024</v>
      </c>
      <c r="AD187" t="str">
        <f t="shared" si="32"/>
        <v>gmail.com</v>
      </c>
    </row>
    <row r="188" spans="1:30" x14ac:dyDescent="0.3">
      <c r="A188" t="s">
        <v>23</v>
      </c>
      <c r="B188" t="s">
        <v>123</v>
      </c>
      <c r="C188" t="s">
        <v>205</v>
      </c>
      <c r="D188">
        <v>53</v>
      </c>
      <c r="E188" t="s">
        <v>290</v>
      </c>
      <c r="F188" t="s">
        <v>295</v>
      </c>
      <c r="G188" t="s">
        <v>304</v>
      </c>
      <c r="H188" t="s">
        <v>404</v>
      </c>
      <c r="I188" t="s">
        <v>685</v>
      </c>
      <c r="J188" s="1">
        <v>45561</v>
      </c>
      <c r="K188" t="s">
        <v>1185</v>
      </c>
      <c r="L188" t="s">
        <v>1501</v>
      </c>
      <c r="M188">
        <v>330.11</v>
      </c>
      <c r="N188">
        <v>4</v>
      </c>
      <c r="O188" t="s">
        <v>1550</v>
      </c>
      <c r="P188">
        <v>4</v>
      </c>
      <c r="Q188">
        <v>47</v>
      </c>
      <c r="R188" s="1">
        <v>45566</v>
      </c>
      <c r="S188" t="s">
        <v>1737</v>
      </c>
      <c r="T188">
        <f t="shared" si="22"/>
        <v>5</v>
      </c>
      <c r="U188">
        <f t="shared" si="23"/>
        <v>1320.44</v>
      </c>
      <c r="V188">
        <f t="shared" si="24"/>
        <v>1367.44</v>
      </c>
      <c r="W188">
        <f t="shared" si="25"/>
        <v>0.2</v>
      </c>
      <c r="X188">
        <f t="shared" si="26"/>
        <v>264.08800000000002</v>
      </c>
      <c r="Y188">
        <f t="shared" si="27"/>
        <v>1103.3520000000001</v>
      </c>
      <c r="Z188" t="str">
        <f t="shared" si="28"/>
        <v>Christine West</v>
      </c>
      <c r="AA188" s="1" t="str">
        <f t="shared" si="29"/>
        <v>Late</v>
      </c>
      <c r="AB188" t="str">
        <f t="shared" si="30"/>
        <v>Sep</v>
      </c>
      <c r="AC188" s="9">
        <f t="shared" si="31"/>
        <v>2024</v>
      </c>
      <c r="AD188" t="str">
        <f t="shared" si="32"/>
        <v>gmail.com</v>
      </c>
    </row>
    <row r="189" spans="1:30" x14ac:dyDescent="0.3">
      <c r="A189" t="s">
        <v>50</v>
      </c>
      <c r="B189" t="s">
        <v>148</v>
      </c>
      <c r="C189" t="s">
        <v>231</v>
      </c>
      <c r="D189">
        <v>45</v>
      </c>
      <c r="E189" t="s">
        <v>288</v>
      </c>
      <c r="F189" t="s">
        <v>292</v>
      </c>
      <c r="G189" t="s">
        <v>331</v>
      </c>
      <c r="H189" t="s">
        <v>431</v>
      </c>
      <c r="I189" t="s">
        <v>686</v>
      </c>
      <c r="J189" s="1">
        <v>45099</v>
      </c>
      <c r="K189" t="s">
        <v>1186</v>
      </c>
      <c r="L189" t="s">
        <v>1544</v>
      </c>
      <c r="M189">
        <v>107.47</v>
      </c>
      <c r="N189">
        <v>1</v>
      </c>
      <c r="O189" t="s">
        <v>1549</v>
      </c>
      <c r="P189">
        <v>5</v>
      </c>
      <c r="Q189">
        <v>56</v>
      </c>
      <c r="R189" s="1">
        <v>45104</v>
      </c>
      <c r="S189" t="s">
        <v>1738</v>
      </c>
      <c r="T189">
        <f t="shared" si="22"/>
        <v>5</v>
      </c>
      <c r="U189">
        <f t="shared" si="23"/>
        <v>107.47</v>
      </c>
      <c r="V189">
        <f t="shared" si="24"/>
        <v>163.47</v>
      </c>
      <c r="W189">
        <f t="shared" si="25"/>
        <v>0.1</v>
      </c>
      <c r="X189">
        <f t="shared" si="26"/>
        <v>10.747</v>
      </c>
      <c r="Y189">
        <f t="shared" si="27"/>
        <v>152.72300000000001</v>
      </c>
      <c r="Z189" t="str">
        <f t="shared" si="28"/>
        <v>Jenny Estrada</v>
      </c>
      <c r="AA189" s="1" t="str">
        <f t="shared" si="29"/>
        <v>In Time</v>
      </c>
      <c r="AB189" t="str">
        <f t="shared" si="30"/>
        <v>Jun</v>
      </c>
      <c r="AC189" s="9">
        <f t="shared" si="31"/>
        <v>2023</v>
      </c>
      <c r="AD189" t="str">
        <f t="shared" si="32"/>
        <v>yahoo.com</v>
      </c>
    </row>
    <row r="190" spans="1:30" x14ac:dyDescent="0.3">
      <c r="A190" t="s">
        <v>33</v>
      </c>
      <c r="B190" t="s">
        <v>133</v>
      </c>
      <c r="C190" t="s">
        <v>215</v>
      </c>
      <c r="D190">
        <v>46</v>
      </c>
      <c r="E190" t="s">
        <v>288</v>
      </c>
      <c r="F190" t="s">
        <v>297</v>
      </c>
      <c r="G190" t="s">
        <v>314</v>
      </c>
      <c r="H190" t="s">
        <v>414</v>
      </c>
      <c r="I190" t="s">
        <v>687</v>
      </c>
      <c r="J190" s="1">
        <v>45586</v>
      </c>
      <c r="K190" t="s">
        <v>1187</v>
      </c>
      <c r="L190" t="s">
        <v>1516</v>
      </c>
      <c r="M190">
        <v>126.19</v>
      </c>
      <c r="N190">
        <v>1</v>
      </c>
      <c r="O190" t="s">
        <v>1550</v>
      </c>
      <c r="P190">
        <v>5</v>
      </c>
      <c r="Q190">
        <v>68</v>
      </c>
      <c r="R190" s="1">
        <v>45588</v>
      </c>
      <c r="S190" t="s">
        <v>1739</v>
      </c>
      <c r="T190">
        <f t="shared" si="22"/>
        <v>2</v>
      </c>
      <c r="U190">
        <f t="shared" si="23"/>
        <v>126.19</v>
      </c>
      <c r="V190">
        <f t="shared" si="24"/>
        <v>194.19</v>
      </c>
      <c r="W190">
        <f t="shared" si="25"/>
        <v>0.2</v>
      </c>
      <c r="X190">
        <f t="shared" si="26"/>
        <v>25.238</v>
      </c>
      <c r="Y190">
        <f t="shared" si="27"/>
        <v>168.952</v>
      </c>
      <c r="Z190" t="str">
        <f t="shared" si="28"/>
        <v>Erin Miller</v>
      </c>
      <c r="AA190" s="1" t="str">
        <f t="shared" si="29"/>
        <v>Before Time</v>
      </c>
      <c r="AB190" t="str">
        <f t="shared" si="30"/>
        <v>Oct</v>
      </c>
      <c r="AC190" s="9">
        <f t="shared" si="31"/>
        <v>2024</v>
      </c>
      <c r="AD190" t="str">
        <f t="shared" si="32"/>
        <v>gmail.com</v>
      </c>
    </row>
    <row r="191" spans="1:30" x14ac:dyDescent="0.3">
      <c r="A191" t="s">
        <v>81</v>
      </c>
      <c r="B191" t="s">
        <v>171</v>
      </c>
      <c r="C191" t="s">
        <v>258</v>
      </c>
      <c r="D191">
        <v>45</v>
      </c>
      <c r="E191" t="s">
        <v>290</v>
      </c>
      <c r="F191" t="s">
        <v>296</v>
      </c>
      <c r="G191" t="s">
        <v>362</v>
      </c>
      <c r="H191" t="s">
        <v>462</v>
      </c>
      <c r="I191" t="s">
        <v>688</v>
      </c>
      <c r="J191" s="1">
        <v>45060</v>
      </c>
      <c r="K191" t="s">
        <v>1188</v>
      </c>
      <c r="L191" t="s">
        <v>1543</v>
      </c>
      <c r="M191">
        <v>381.73</v>
      </c>
      <c r="N191">
        <v>2</v>
      </c>
      <c r="O191" t="s">
        <v>1547</v>
      </c>
      <c r="P191">
        <v>5</v>
      </c>
      <c r="Q191">
        <v>38</v>
      </c>
      <c r="R191" s="1">
        <v>45066</v>
      </c>
      <c r="S191" t="s">
        <v>1740</v>
      </c>
      <c r="T191">
        <f t="shared" si="22"/>
        <v>6</v>
      </c>
      <c r="U191">
        <f t="shared" si="23"/>
        <v>763.46</v>
      </c>
      <c r="V191">
        <f t="shared" si="24"/>
        <v>763.46</v>
      </c>
      <c r="W191">
        <f t="shared" si="25"/>
        <v>0</v>
      </c>
      <c r="X191">
        <f t="shared" si="26"/>
        <v>0</v>
      </c>
      <c r="Y191">
        <f t="shared" si="27"/>
        <v>763.46</v>
      </c>
      <c r="Z191" t="str">
        <f t="shared" si="28"/>
        <v>Beth Mason</v>
      </c>
      <c r="AA191" s="1" t="str">
        <f t="shared" si="29"/>
        <v>Late</v>
      </c>
      <c r="AB191" t="str">
        <f t="shared" si="30"/>
        <v>May</v>
      </c>
      <c r="AC191" s="9">
        <f t="shared" si="31"/>
        <v>2023</v>
      </c>
      <c r="AD191" t="str">
        <f t="shared" si="32"/>
        <v>outlook.com</v>
      </c>
    </row>
    <row r="192" spans="1:30" x14ac:dyDescent="0.3">
      <c r="A192" t="s">
        <v>66</v>
      </c>
      <c r="B192" t="s">
        <v>127</v>
      </c>
      <c r="C192" t="s">
        <v>247</v>
      </c>
      <c r="D192">
        <v>33</v>
      </c>
      <c r="E192" t="s">
        <v>288</v>
      </c>
      <c r="F192" t="s">
        <v>297</v>
      </c>
      <c r="G192" t="s">
        <v>347</v>
      </c>
      <c r="H192" t="s">
        <v>447</v>
      </c>
      <c r="I192" t="s">
        <v>689</v>
      </c>
      <c r="J192" s="1">
        <v>45069</v>
      </c>
      <c r="K192" t="s">
        <v>1189</v>
      </c>
      <c r="L192" t="s">
        <v>1545</v>
      </c>
      <c r="M192">
        <v>292.14999999999998</v>
      </c>
      <c r="N192">
        <v>5</v>
      </c>
      <c r="O192" t="s">
        <v>1549</v>
      </c>
      <c r="P192">
        <v>6</v>
      </c>
      <c r="Q192">
        <v>68</v>
      </c>
      <c r="R192" s="1">
        <v>45071</v>
      </c>
      <c r="S192" t="s">
        <v>1741</v>
      </c>
      <c r="T192">
        <f t="shared" si="22"/>
        <v>2</v>
      </c>
      <c r="U192">
        <f t="shared" si="23"/>
        <v>1460.75</v>
      </c>
      <c r="V192">
        <f t="shared" si="24"/>
        <v>1528.75</v>
      </c>
      <c r="W192">
        <f t="shared" si="25"/>
        <v>0.1</v>
      </c>
      <c r="X192">
        <f t="shared" si="26"/>
        <v>146.07500000000002</v>
      </c>
      <c r="Y192">
        <f t="shared" si="27"/>
        <v>1382.675</v>
      </c>
      <c r="Z192" t="str">
        <f t="shared" si="28"/>
        <v>Debra Hayes</v>
      </c>
      <c r="AA192" s="1" t="str">
        <f t="shared" si="29"/>
        <v>Before Time</v>
      </c>
      <c r="AB192" t="str">
        <f t="shared" si="30"/>
        <v>May</v>
      </c>
      <c r="AC192" s="9">
        <f t="shared" si="31"/>
        <v>2023</v>
      </c>
      <c r="AD192" t="str">
        <f t="shared" si="32"/>
        <v>yahoo.com</v>
      </c>
    </row>
    <row r="193" spans="1:30" x14ac:dyDescent="0.3">
      <c r="A193" t="s">
        <v>68</v>
      </c>
      <c r="B193" t="s">
        <v>162</v>
      </c>
      <c r="C193" t="s">
        <v>232</v>
      </c>
      <c r="D193">
        <v>39</v>
      </c>
      <c r="E193" t="s">
        <v>290</v>
      </c>
      <c r="F193" t="s">
        <v>292</v>
      </c>
      <c r="G193" t="s">
        <v>349</v>
      </c>
      <c r="H193" t="s">
        <v>449</v>
      </c>
      <c r="I193" t="s">
        <v>690</v>
      </c>
      <c r="J193" s="1">
        <v>45036</v>
      </c>
      <c r="K193" t="s">
        <v>1190</v>
      </c>
      <c r="L193" t="s">
        <v>1533</v>
      </c>
      <c r="M193">
        <v>136.30000000000001</v>
      </c>
      <c r="N193">
        <v>3</v>
      </c>
      <c r="O193" t="s">
        <v>1548</v>
      </c>
      <c r="P193">
        <v>6</v>
      </c>
      <c r="Q193">
        <v>42</v>
      </c>
      <c r="R193" s="1">
        <v>45043</v>
      </c>
      <c r="S193" t="s">
        <v>1742</v>
      </c>
      <c r="T193">
        <f t="shared" si="22"/>
        <v>7</v>
      </c>
      <c r="U193">
        <f t="shared" si="23"/>
        <v>408.90000000000003</v>
      </c>
      <c r="V193">
        <f t="shared" si="24"/>
        <v>450.90000000000003</v>
      </c>
      <c r="W193">
        <f t="shared" si="25"/>
        <v>0.15</v>
      </c>
      <c r="X193">
        <f t="shared" si="26"/>
        <v>61.335000000000001</v>
      </c>
      <c r="Y193">
        <f t="shared" si="27"/>
        <v>389.56500000000005</v>
      </c>
      <c r="Z193" t="str">
        <f t="shared" si="28"/>
        <v>Mitchell Parker</v>
      </c>
      <c r="AA193" s="1" t="str">
        <f t="shared" si="29"/>
        <v>Late</v>
      </c>
      <c r="AB193" t="str">
        <f t="shared" si="30"/>
        <v>Apr</v>
      </c>
      <c r="AC193" s="9">
        <f t="shared" si="31"/>
        <v>2023</v>
      </c>
      <c r="AD193" t="str">
        <f t="shared" si="32"/>
        <v>yahoo.com</v>
      </c>
    </row>
    <row r="194" spans="1:30" x14ac:dyDescent="0.3">
      <c r="A194" t="s">
        <v>80</v>
      </c>
      <c r="B194" t="s">
        <v>131</v>
      </c>
      <c r="C194" t="s">
        <v>257</v>
      </c>
      <c r="D194">
        <v>44</v>
      </c>
      <c r="E194" t="s">
        <v>290</v>
      </c>
      <c r="F194" t="s">
        <v>296</v>
      </c>
      <c r="G194" t="s">
        <v>361</v>
      </c>
      <c r="H194" t="s">
        <v>461</v>
      </c>
      <c r="I194" t="s">
        <v>691</v>
      </c>
      <c r="J194" s="1">
        <v>45208</v>
      </c>
      <c r="K194" t="s">
        <v>1191</v>
      </c>
      <c r="L194" t="s">
        <v>1536</v>
      </c>
      <c r="M194">
        <v>403.03</v>
      </c>
      <c r="N194">
        <v>3</v>
      </c>
      <c r="O194" t="s">
        <v>1548</v>
      </c>
      <c r="P194">
        <v>4</v>
      </c>
      <c r="Q194">
        <v>67</v>
      </c>
      <c r="R194" s="1">
        <v>45213</v>
      </c>
      <c r="S194" t="s">
        <v>1743</v>
      </c>
      <c r="T194">
        <f t="shared" si="22"/>
        <v>5</v>
      </c>
      <c r="U194">
        <f t="shared" si="23"/>
        <v>1209.0899999999999</v>
      </c>
      <c r="V194">
        <f t="shared" si="24"/>
        <v>1276.0899999999999</v>
      </c>
      <c r="W194">
        <f t="shared" si="25"/>
        <v>0.15</v>
      </c>
      <c r="X194">
        <f t="shared" si="26"/>
        <v>181.36349999999999</v>
      </c>
      <c r="Y194">
        <f t="shared" si="27"/>
        <v>1094.7265</v>
      </c>
      <c r="Z194" t="str">
        <f t="shared" si="28"/>
        <v>Amy Ellis</v>
      </c>
      <c r="AA194" s="1" t="str">
        <f t="shared" si="29"/>
        <v>Late</v>
      </c>
      <c r="AB194" t="str">
        <f t="shared" si="30"/>
        <v>Oct</v>
      </c>
      <c r="AC194" s="9">
        <f t="shared" si="31"/>
        <v>2023</v>
      </c>
      <c r="AD194" t="str">
        <f t="shared" si="32"/>
        <v>gmail.com</v>
      </c>
    </row>
    <row r="195" spans="1:30" x14ac:dyDescent="0.3">
      <c r="A195" t="s">
        <v>61</v>
      </c>
      <c r="B195" t="s">
        <v>158</v>
      </c>
      <c r="C195" t="s">
        <v>242</v>
      </c>
      <c r="D195">
        <v>28</v>
      </c>
      <c r="E195" t="s">
        <v>290</v>
      </c>
      <c r="F195" t="s">
        <v>295</v>
      </c>
      <c r="G195" t="s">
        <v>342</v>
      </c>
      <c r="H195" t="s">
        <v>442</v>
      </c>
      <c r="I195" t="s">
        <v>692</v>
      </c>
      <c r="J195" s="1">
        <v>45241</v>
      </c>
      <c r="K195" t="s">
        <v>1192</v>
      </c>
      <c r="L195" t="s">
        <v>1537</v>
      </c>
      <c r="M195">
        <v>445.81</v>
      </c>
      <c r="N195">
        <v>2</v>
      </c>
      <c r="O195" t="s">
        <v>1547</v>
      </c>
      <c r="P195">
        <v>7</v>
      </c>
      <c r="Q195">
        <v>67</v>
      </c>
      <c r="R195" s="1">
        <v>45242</v>
      </c>
      <c r="S195" t="s">
        <v>1744</v>
      </c>
      <c r="T195">
        <f t="shared" ref="T195:T258" si="33">R195-J195</f>
        <v>1</v>
      </c>
      <c r="U195">
        <f t="shared" ref="U195:U258" si="34">M195*N195</f>
        <v>891.62</v>
      </c>
      <c r="V195">
        <f t="shared" ref="V195:V258" si="35">IF(O195="DEL0",U195,U195+Q195)</f>
        <v>891.62</v>
      </c>
      <c r="W195">
        <f t="shared" ref="W195:W258" si="36">IF(O195="FLAT8",8%,IF(O195="FLAT10",10%,IF(O195="FLAT15",15%,IF(O195="FLAT20",20%,0))))</f>
        <v>0</v>
      </c>
      <c r="X195">
        <f t="shared" ref="X195:X258" si="37">U195*W195</f>
        <v>0</v>
      </c>
      <c r="Y195">
        <f t="shared" ref="Y195:Y258" si="38">V195-X195</f>
        <v>891.62</v>
      </c>
      <c r="Z195" t="str">
        <f t="shared" ref="Z195:Z258" si="39">B195&amp;" "&amp;C195</f>
        <v>Mary Knight</v>
      </c>
      <c r="AA195" s="1" t="str">
        <f t="shared" ref="AA195:AA258" si="40">IF(R195&lt;(J195+P195),"Before Time",IF(R195=(J195+P195),"In Time","Late"))</f>
        <v>Before Time</v>
      </c>
      <c r="AB195" t="str">
        <f t="shared" ref="AB195:AB258" si="41">TEXT(J195,"MMM")</f>
        <v>Nov</v>
      </c>
      <c r="AC195" s="9">
        <f t="shared" ref="AC195:AC258" si="42">YEAR(J195)</f>
        <v>2023</v>
      </c>
      <c r="AD195" t="str">
        <f t="shared" ref="AD195:AD258" si="43">RIGHT(G195,LEN(G195)-FIND("@",G195))</f>
        <v>yahoo.com</v>
      </c>
    </row>
    <row r="196" spans="1:30" x14ac:dyDescent="0.3">
      <c r="A196" t="s">
        <v>104</v>
      </c>
      <c r="B196" t="s">
        <v>123</v>
      </c>
      <c r="C196" t="s">
        <v>278</v>
      </c>
      <c r="D196">
        <v>46</v>
      </c>
      <c r="E196" t="s">
        <v>288</v>
      </c>
      <c r="F196" t="s">
        <v>291</v>
      </c>
      <c r="G196" t="s">
        <v>385</v>
      </c>
      <c r="H196" t="s">
        <v>485</v>
      </c>
      <c r="I196" t="s">
        <v>693</v>
      </c>
      <c r="J196" s="1">
        <v>45051</v>
      </c>
      <c r="K196" t="s">
        <v>1193</v>
      </c>
      <c r="L196" t="s">
        <v>1523</v>
      </c>
      <c r="M196">
        <v>129.75</v>
      </c>
      <c r="N196">
        <v>5</v>
      </c>
      <c r="O196" t="s">
        <v>1550</v>
      </c>
      <c r="P196">
        <v>6</v>
      </c>
      <c r="Q196">
        <v>38</v>
      </c>
      <c r="R196" s="1">
        <v>45057</v>
      </c>
      <c r="S196" t="s">
        <v>1745</v>
      </c>
      <c r="T196">
        <f t="shared" si="33"/>
        <v>6</v>
      </c>
      <c r="U196">
        <f t="shared" si="34"/>
        <v>648.75</v>
      </c>
      <c r="V196">
        <f t="shared" si="35"/>
        <v>686.75</v>
      </c>
      <c r="W196">
        <f t="shared" si="36"/>
        <v>0.2</v>
      </c>
      <c r="X196">
        <f t="shared" si="37"/>
        <v>129.75</v>
      </c>
      <c r="Y196">
        <f t="shared" si="38"/>
        <v>557</v>
      </c>
      <c r="Z196" t="str">
        <f t="shared" si="39"/>
        <v>Christine Aguilar</v>
      </c>
      <c r="AA196" s="1" t="str">
        <f t="shared" si="40"/>
        <v>In Time</v>
      </c>
      <c r="AB196" t="str">
        <f t="shared" si="41"/>
        <v>May</v>
      </c>
      <c r="AC196" s="9">
        <f t="shared" si="42"/>
        <v>2023</v>
      </c>
      <c r="AD196" t="str">
        <f t="shared" si="43"/>
        <v>gmail.com</v>
      </c>
    </row>
    <row r="197" spans="1:30" x14ac:dyDescent="0.3">
      <c r="A197" t="s">
        <v>70</v>
      </c>
      <c r="B197" t="s">
        <v>164</v>
      </c>
      <c r="C197" t="s">
        <v>248</v>
      </c>
      <c r="D197">
        <v>64</v>
      </c>
      <c r="E197" t="s">
        <v>288</v>
      </c>
      <c r="F197" t="s">
        <v>291</v>
      </c>
      <c r="G197" t="s">
        <v>351</v>
      </c>
      <c r="H197" t="s">
        <v>451</v>
      </c>
      <c r="I197" t="s">
        <v>694</v>
      </c>
      <c r="J197" s="1">
        <v>45282</v>
      </c>
      <c r="K197" t="s">
        <v>1194</v>
      </c>
      <c r="L197" t="s">
        <v>1546</v>
      </c>
      <c r="M197">
        <v>33.49</v>
      </c>
      <c r="N197">
        <v>3</v>
      </c>
      <c r="O197" t="s">
        <v>1548</v>
      </c>
      <c r="P197">
        <v>2</v>
      </c>
      <c r="Q197">
        <v>62</v>
      </c>
      <c r="R197" s="1">
        <v>45284</v>
      </c>
      <c r="S197" t="s">
        <v>1746</v>
      </c>
      <c r="T197">
        <f t="shared" si="33"/>
        <v>2</v>
      </c>
      <c r="U197">
        <f t="shared" si="34"/>
        <v>100.47</v>
      </c>
      <c r="V197">
        <f t="shared" si="35"/>
        <v>162.47</v>
      </c>
      <c r="W197">
        <f t="shared" si="36"/>
        <v>0.15</v>
      </c>
      <c r="X197">
        <f t="shared" si="37"/>
        <v>15.070499999999999</v>
      </c>
      <c r="Y197">
        <f t="shared" si="38"/>
        <v>147.39949999999999</v>
      </c>
      <c r="Z197" t="str">
        <f t="shared" si="39"/>
        <v>Sarah Butler</v>
      </c>
      <c r="AA197" s="1" t="str">
        <f t="shared" si="40"/>
        <v>In Time</v>
      </c>
      <c r="AB197" t="str">
        <f t="shared" si="41"/>
        <v>Dec</v>
      </c>
      <c r="AC197" s="9">
        <f t="shared" si="42"/>
        <v>2023</v>
      </c>
      <c r="AD197" t="str">
        <f t="shared" si="43"/>
        <v>rediffmail.com</v>
      </c>
    </row>
    <row r="198" spans="1:30" x14ac:dyDescent="0.3">
      <c r="A198" t="s">
        <v>73</v>
      </c>
      <c r="B198" t="s">
        <v>166</v>
      </c>
      <c r="C198" t="s">
        <v>251</v>
      </c>
      <c r="D198">
        <v>32</v>
      </c>
      <c r="E198" t="s">
        <v>290</v>
      </c>
      <c r="F198" t="s">
        <v>296</v>
      </c>
      <c r="G198" t="s">
        <v>354</v>
      </c>
      <c r="H198" t="s">
        <v>454</v>
      </c>
      <c r="I198" t="s">
        <v>695</v>
      </c>
      <c r="J198" s="1">
        <v>45689</v>
      </c>
      <c r="K198" t="s">
        <v>1195</v>
      </c>
      <c r="L198" t="s">
        <v>1501</v>
      </c>
      <c r="M198">
        <v>330.11</v>
      </c>
      <c r="N198">
        <v>4</v>
      </c>
      <c r="O198" t="s">
        <v>1550</v>
      </c>
      <c r="P198">
        <v>2</v>
      </c>
      <c r="Q198">
        <v>69</v>
      </c>
      <c r="R198" s="1">
        <v>45695</v>
      </c>
      <c r="S198" t="s">
        <v>1747</v>
      </c>
      <c r="T198">
        <f t="shared" si="33"/>
        <v>6</v>
      </c>
      <c r="U198">
        <f t="shared" si="34"/>
        <v>1320.44</v>
      </c>
      <c r="V198">
        <f t="shared" si="35"/>
        <v>1389.44</v>
      </c>
      <c r="W198">
        <f t="shared" si="36"/>
        <v>0.2</v>
      </c>
      <c r="X198">
        <f t="shared" si="37"/>
        <v>264.08800000000002</v>
      </c>
      <c r="Y198">
        <f t="shared" si="38"/>
        <v>1125.3520000000001</v>
      </c>
      <c r="Z198" t="str">
        <f t="shared" si="39"/>
        <v>Brandon Cruz</v>
      </c>
      <c r="AA198" s="1" t="str">
        <f t="shared" si="40"/>
        <v>Late</v>
      </c>
      <c r="AB198" t="str">
        <f t="shared" si="41"/>
        <v>Feb</v>
      </c>
      <c r="AC198" s="9">
        <f t="shared" si="42"/>
        <v>2025</v>
      </c>
      <c r="AD198" t="str">
        <f t="shared" si="43"/>
        <v>gmail.com</v>
      </c>
    </row>
    <row r="199" spans="1:30" x14ac:dyDescent="0.3">
      <c r="A199" t="s">
        <v>59</v>
      </c>
      <c r="B199" t="s">
        <v>156</v>
      </c>
      <c r="C199" t="s">
        <v>240</v>
      </c>
      <c r="D199">
        <v>70</v>
      </c>
      <c r="E199" t="s">
        <v>288</v>
      </c>
      <c r="F199" t="s">
        <v>291</v>
      </c>
      <c r="G199" t="s">
        <v>340</v>
      </c>
      <c r="H199" t="s">
        <v>440</v>
      </c>
      <c r="I199" t="s">
        <v>696</v>
      </c>
      <c r="J199" s="1">
        <v>45045</v>
      </c>
      <c r="K199" t="s">
        <v>1196</v>
      </c>
      <c r="L199" t="s">
        <v>1502</v>
      </c>
      <c r="M199">
        <v>202.54</v>
      </c>
      <c r="N199">
        <v>5</v>
      </c>
      <c r="O199" t="s">
        <v>1548</v>
      </c>
      <c r="P199">
        <v>1</v>
      </c>
      <c r="Q199">
        <v>47</v>
      </c>
      <c r="R199" s="1">
        <v>45051</v>
      </c>
      <c r="S199" t="s">
        <v>1748</v>
      </c>
      <c r="T199">
        <f t="shared" si="33"/>
        <v>6</v>
      </c>
      <c r="U199">
        <f t="shared" si="34"/>
        <v>1012.6999999999999</v>
      </c>
      <c r="V199">
        <f t="shared" si="35"/>
        <v>1059.6999999999998</v>
      </c>
      <c r="W199">
        <f t="shared" si="36"/>
        <v>0.15</v>
      </c>
      <c r="X199">
        <f t="shared" si="37"/>
        <v>151.90499999999997</v>
      </c>
      <c r="Y199">
        <f t="shared" si="38"/>
        <v>907.79499999999985</v>
      </c>
      <c r="Z199" t="str">
        <f t="shared" si="39"/>
        <v>Alexandra Smith</v>
      </c>
      <c r="AA199" s="1" t="str">
        <f t="shared" si="40"/>
        <v>Late</v>
      </c>
      <c r="AB199" t="str">
        <f t="shared" si="41"/>
        <v>Apr</v>
      </c>
      <c r="AC199" s="9">
        <f t="shared" si="42"/>
        <v>2023</v>
      </c>
      <c r="AD199" t="str">
        <f t="shared" si="43"/>
        <v>rediffmail.com</v>
      </c>
    </row>
    <row r="200" spans="1:30" x14ac:dyDescent="0.3">
      <c r="A200" t="s">
        <v>76</v>
      </c>
      <c r="B200" t="s">
        <v>142</v>
      </c>
      <c r="C200" t="s">
        <v>254</v>
      </c>
      <c r="D200">
        <v>35</v>
      </c>
      <c r="E200" t="s">
        <v>288</v>
      </c>
      <c r="F200" t="s">
        <v>291</v>
      </c>
      <c r="G200" t="s">
        <v>357</v>
      </c>
      <c r="H200" t="s">
        <v>457</v>
      </c>
      <c r="I200" t="s">
        <v>697</v>
      </c>
      <c r="J200" s="1">
        <v>45253</v>
      </c>
      <c r="K200" t="s">
        <v>1197</v>
      </c>
      <c r="L200" t="s">
        <v>1498</v>
      </c>
      <c r="M200">
        <v>166.28</v>
      </c>
      <c r="N200">
        <v>4</v>
      </c>
      <c r="O200" t="s">
        <v>1549</v>
      </c>
      <c r="P200">
        <v>4</v>
      </c>
      <c r="Q200">
        <v>44</v>
      </c>
      <c r="R200" s="1">
        <v>45257</v>
      </c>
      <c r="S200" t="s">
        <v>1749</v>
      </c>
      <c r="T200">
        <f t="shared" si="33"/>
        <v>4</v>
      </c>
      <c r="U200">
        <f t="shared" si="34"/>
        <v>665.12</v>
      </c>
      <c r="V200">
        <f t="shared" si="35"/>
        <v>709.12</v>
      </c>
      <c r="W200">
        <f t="shared" si="36"/>
        <v>0.1</v>
      </c>
      <c r="X200">
        <f t="shared" si="37"/>
        <v>66.512</v>
      </c>
      <c r="Y200">
        <f t="shared" si="38"/>
        <v>642.60799999999995</v>
      </c>
      <c r="Z200" t="str">
        <f t="shared" si="39"/>
        <v>Ashley Romero</v>
      </c>
      <c r="AA200" s="1" t="str">
        <f t="shared" si="40"/>
        <v>In Time</v>
      </c>
      <c r="AB200" t="str">
        <f t="shared" si="41"/>
        <v>Nov</v>
      </c>
      <c r="AC200" s="9">
        <f t="shared" si="42"/>
        <v>2023</v>
      </c>
      <c r="AD200" t="str">
        <f t="shared" si="43"/>
        <v>yahoo.com</v>
      </c>
    </row>
    <row r="201" spans="1:30" x14ac:dyDescent="0.3">
      <c r="A201" t="s">
        <v>61</v>
      </c>
      <c r="B201" t="s">
        <v>158</v>
      </c>
      <c r="C201" t="s">
        <v>242</v>
      </c>
      <c r="D201">
        <v>28</v>
      </c>
      <c r="E201" t="s">
        <v>290</v>
      </c>
      <c r="F201" t="s">
        <v>295</v>
      </c>
      <c r="G201" t="s">
        <v>342</v>
      </c>
      <c r="H201" t="s">
        <v>442</v>
      </c>
      <c r="I201" t="s">
        <v>698</v>
      </c>
      <c r="J201" s="1">
        <v>45523</v>
      </c>
      <c r="K201" t="s">
        <v>1198</v>
      </c>
      <c r="L201" t="s">
        <v>1545</v>
      </c>
      <c r="M201">
        <v>292.14999999999998</v>
      </c>
      <c r="N201">
        <v>2</v>
      </c>
      <c r="O201" t="s">
        <v>1548</v>
      </c>
      <c r="P201">
        <v>4</v>
      </c>
      <c r="Q201">
        <v>58</v>
      </c>
      <c r="R201" s="1">
        <v>45526</v>
      </c>
      <c r="S201" t="s">
        <v>1750</v>
      </c>
      <c r="T201">
        <f t="shared" si="33"/>
        <v>3</v>
      </c>
      <c r="U201">
        <f t="shared" si="34"/>
        <v>584.29999999999995</v>
      </c>
      <c r="V201">
        <f t="shared" si="35"/>
        <v>642.29999999999995</v>
      </c>
      <c r="W201">
        <f t="shared" si="36"/>
        <v>0.15</v>
      </c>
      <c r="X201">
        <f t="shared" si="37"/>
        <v>87.644999999999996</v>
      </c>
      <c r="Y201">
        <f t="shared" si="38"/>
        <v>554.65499999999997</v>
      </c>
      <c r="Z201" t="str">
        <f t="shared" si="39"/>
        <v>Mary Knight</v>
      </c>
      <c r="AA201" s="1" t="str">
        <f t="shared" si="40"/>
        <v>Before Time</v>
      </c>
      <c r="AB201" t="str">
        <f t="shared" si="41"/>
        <v>Aug</v>
      </c>
      <c r="AC201" s="9">
        <f t="shared" si="42"/>
        <v>2024</v>
      </c>
      <c r="AD201" t="str">
        <f t="shared" si="43"/>
        <v>yahoo.com</v>
      </c>
    </row>
    <row r="202" spans="1:30" x14ac:dyDescent="0.3">
      <c r="A202" t="s">
        <v>104</v>
      </c>
      <c r="B202" t="s">
        <v>123</v>
      </c>
      <c r="C202" t="s">
        <v>278</v>
      </c>
      <c r="D202">
        <v>46</v>
      </c>
      <c r="E202" t="s">
        <v>288</v>
      </c>
      <c r="F202" t="s">
        <v>291</v>
      </c>
      <c r="G202" t="s">
        <v>385</v>
      </c>
      <c r="H202" t="s">
        <v>485</v>
      </c>
      <c r="I202" t="s">
        <v>699</v>
      </c>
      <c r="J202" s="1">
        <v>45481</v>
      </c>
      <c r="K202" t="s">
        <v>1199</v>
      </c>
      <c r="L202" t="s">
        <v>1511</v>
      </c>
      <c r="M202">
        <v>272.51</v>
      </c>
      <c r="N202">
        <v>4</v>
      </c>
      <c r="O202" t="s">
        <v>1547</v>
      </c>
      <c r="P202">
        <v>7</v>
      </c>
      <c r="Q202">
        <v>38</v>
      </c>
      <c r="R202" s="1">
        <v>45482</v>
      </c>
      <c r="S202" t="s">
        <v>1751</v>
      </c>
      <c r="T202">
        <f t="shared" si="33"/>
        <v>1</v>
      </c>
      <c r="U202">
        <f t="shared" si="34"/>
        <v>1090.04</v>
      </c>
      <c r="V202">
        <f t="shared" si="35"/>
        <v>1090.04</v>
      </c>
      <c r="W202">
        <f t="shared" si="36"/>
        <v>0</v>
      </c>
      <c r="X202">
        <f t="shared" si="37"/>
        <v>0</v>
      </c>
      <c r="Y202">
        <f t="shared" si="38"/>
        <v>1090.04</v>
      </c>
      <c r="Z202" t="str">
        <f t="shared" si="39"/>
        <v>Christine Aguilar</v>
      </c>
      <c r="AA202" s="1" t="str">
        <f t="shared" si="40"/>
        <v>Before Time</v>
      </c>
      <c r="AB202" t="str">
        <f t="shared" si="41"/>
        <v>Jul</v>
      </c>
      <c r="AC202" s="9">
        <f t="shared" si="42"/>
        <v>2024</v>
      </c>
      <c r="AD202" t="str">
        <f t="shared" si="43"/>
        <v>gmail.com</v>
      </c>
    </row>
    <row r="203" spans="1:30" x14ac:dyDescent="0.3">
      <c r="A203" t="s">
        <v>50</v>
      </c>
      <c r="B203" t="s">
        <v>148</v>
      </c>
      <c r="C203" t="s">
        <v>231</v>
      </c>
      <c r="D203">
        <v>45</v>
      </c>
      <c r="E203" t="s">
        <v>288</v>
      </c>
      <c r="F203" t="s">
        <v>292</v>
      </c>
      <c r="G203" t="s">
        <v>331</v>
      </c>
      <c r="H203" t="s">
        <v>431</v>
      </c>
      <c r="I203" t="s">
        <v>700</v>
      </c>
      <c r="J203" s="1">
        <v>45079</v>
      </c>
      <c r="K203" t="s">
        <v>1200</v>
      </c>
      <c r="L203" t="s">
        <v>1524</v>
      </c>
      <c r="M203">
        <v>157.63999999999999</v>
      </c>
      <c r="N203">
        <v>3</v>
      </c>
      <c r="O203" t="s">
        <v>1550</v>
      </c>
      <c r="P203">
        <v>2</v>
      </c>
      <c r="Q203">
        <v>47</v>
      </c>
      <c r="R203" s="1">
        <v>45085</v>
      </c>
      <c r="S203" t="s">
        <v>1752</v>
      </c>
      <c r="T203">
        <f t="shared" si="33"/>
        <v>6</v>
      </c>
      <c r="U203">
        <f t="shared" si="34"/>
        <v>472.91999999999996</v>
      </c>
      <c r="V203">
        <f t="shared" si="35"/>
        <v>519.91999999999996</v>
      </c>
      <c r="W203">
        <f t="shared" si="36"/>
        <v>0.2</v>
      </c>
      <c r="X203">
        <f t="shared" si="37"/>
        <v>94.584000000000003</v>
      </c>
      <c r="Y203">
        <f t="shared" si="38"/>
        <v>425.33599999999996</v>
      </c>
      <c r="Z203" t="str">
        <f t="shared" si="39"/>
        <v>Jenny Estrada</v>
      </c>
      <c r="AA203" s="1" t="str">
        <f t="shared" si="40"/>
        <v>Late</v>
      </c>
      <c r="AB203" t="str">
        <f t="shared" si="41"/>
        <v>Jun</v>
      </c>
      <c r="AC203" s="9">
        <f t="shared" si="42"/>
        <v>2023</v>
      </c>
      <c r="AD203" t="str">
        <f t="shared" si="43"/>
        <v>yahoo.com</v>
      </c>
    </row>
    <row r="204" spans="1:30" x14ac:dyDescent="0.3">
      <c r="A204" t="s">
        <v>49</v>
      </c>
      <c r="B204" t="s">
        <v>147</v>
      </c>
      <c r="C204" t="s">
        <v>230</v>
      </c>
      <c r="D204">
        <v>26</v>
      </c>
      <c r="E204" t="s">
        <v>290</v>
      </c>
      <c r="F204" t="s">
        <v>297</v>
      </c>
      <c r="G204" t="s">
        <v>330</v>
      </c>
      <c r="H204" t="s">
        <v>430</v>
      </c>
      <c r="I204" t="s">
        <v>701</v>
      </c>
      <c r="J204" s="1">
        <v>45053</v>
      </c>
      <c r="K204" t="s">
        <v>1201</v>
      </c>
      <c r="L204" t="s">
        <v>1520</v>
      </c>
      <c r="M204">
        <v>62.42</v>
      </c>
      <c r="N204">
        <v>3</v>
      </c>
      <c r="O204" t="s">
        <v>1548</v>
      </c>
      <c r="P204">
        <v>5</v>
      </c>
      <c r="Q204">
        <v>62</v>
      </c>
      <c r="R204" s="1">
        <v>45058</v>
      </c>
      <c r="S204" t="s">
        <v>1753</v>
      </c>
      <c r="T204">
        <f t="shared" si="33"/>
        <v>5</v>
      </c>
      <c r="U204">
        <f t="shared" si="34"/>
        <v>187.26</v>
      </c>
      <c r="V204">
        <f t="shared" si="35"/>
        <v>249.26</v>
      </c>
      <c r="W204">
        <f t="shared" si="36"/>
        <v>0.15</v>
      </c>
      <c r="X204">
        <f t="shared" si="37"/>
        <v>28.088999999999999</v>
      </c>
      <c r="Y204">
        <f t="shared" si="38"/>
        <v>221.17099999999999</v>
      </c>
      <c r="Z204" t="str">
        <f t="shared" si="39"/>
        <v>Valerie Carr</v>
      </c>
      <c r="AA204" s="1" t="str">
        <f t="shared" si="40"/>
        <v>In Time</v>
      </c>
      <c r="AB204" t="str">
        <f t="shared" si="41"/>
        <v>May</v>
      </c>
      <c r="AC204" s="9">
        <f t="shared" si="42"/>
        <v>2023</v>
      </c>
      <c r="AD204" t="str">
        <f t="shared" si="43"/>
        <v>rediffmail.com</v>
      </c>
    </row>
    <row r="205" spans="1:30" x14ac:dyDescent="0.3">
      <c r="A205" t="s">
        <v>71</v>
      </c>
      <c r="B205" t="s">
        <v>165</v>
      </c>
      <c r="C205" t="s">
        <v>249</v>
      </c>
      <c r="D205">
        <v>42</v>
      </c>
      <c r="E205" t="s">
        <v>290</v>
      </c>
      <c r="F205" t="s">
        <v>295</v>
      </c>
      <c r="G205" t="s">
        <v>352</v>
      </c>
      <c r="H205" t="s">
        <v>452</v>
      </c>
      <c r="I205" t="s">
        <v>702</v>
      </c>
      <c r="J205" s="1">
        <v>45495</v>
      </c>
      <c r="K205" t="s">
        <v>1202</v>
      </c>
      <c r="L205" t="s">
        <v>1503</v>
      </c>
      <c r="M205">
        <v>363.64</v>
      </c>
      <c r="N205">
        <v>3</v>
      </c>
      <c r="O205" t="s">
        <v>2047</v>
      </c>
      <c r="P205">
        <v>5</v>
      </c>
      <c r="Q205">
        <v>53</v>
      </c>
      <c r="R205" s="1">
        <v>45502</v>
      </c>
      <c r="S205" t="s">
        <v>1754</v>
      </c>
      <c r="T205">
        <f t="shared" si="33"/>
        <v>7</v>
      </c>
      <c r="U205">
        <f t="shared" si="34"/>
        <v>1090.92</v>
      </c>
      <c r="V205">
        <f t="shared" si="35"/>
        <v>1143.92</v>
      </c>
      <c r="W205">
        <f t="shared" si="36"/>
        <v>0.08</v>
      </c>
      <c r="X205">
        <f t="shared" si="37"/>
        <v>87.273600000000002</v>
      </c>
      <c r="Y205">
        <f t="shared" si="38"/>
        <v>1056.6464000000001</v>
      </c>
      <c r="Z205" t="str">
        <f t="shared" si="39"/>
        <v>Katherine Weber</v>
      </c>
      <c r="AA205" s="1" t="str">
        <f t="shared" si="40"/>
        <v>Late</v>
      </c>
      <c r="AB205" t="str">
        <f t="shared" si="41"/>
        <v>Jul</v>
      </c>
      <c r="AC205" s="9">
        <f t="shared" si="42"/>
        <v>2024</v>
      </c>
      <c r="AD205" t="str">
        <f t="shared" si="43"/>
        <v>outlook.com</v>
      </c>
    </row>
    <row r="206" spans="1:30" x14ac:dyDescent="0.3">
      <c r="A206" t="s">
        <v>74</v>
      </c>
      <c r="B206" t="s">
        <v>167</v>
      </c>
      <c r="C206" t="s">
        <v>252</v>
      </c>
      <c r="D206">
        <v>33</v>
      </c>
      <c r="E206" t="s">
        <v>290</v>
      </c>
      <c r="F206" t="s">
        <v>297</v>
      </c>
      <c r="G206" t="s">
        <v>355</v>
      </c>
      <c r="H206" t="s">
        <v>455</v>
      </c>
      <c r="I206" t="s">
        <v>703</v>
      </c>
      <c r="J206" s="1">
        <v>45125</v>
      </c>
      <c r="K206" t="s">
        <v>1203</v>
      </c>
      <c r="L206" t="s">
        <v>1535</v>
      </c>
      <c r="M206">
        <v>477.52</v>
      </c>
      <c r="N206">
        <v>4</v>
      </c>
      <c r="O206" t="s">
        <v>1550</v>
      </c>
      <c r="P206">
        <v>5</v>
      </c>
      <c r="Q206">
        <v>55</v>
      </c>
      <c r="R206" s="1">
        <v>45127</v>
      </c>
      <c r="S206" t="s">
        <v>1755</v>
      </c>
      <c r="T206">
        <f t="shared" si="33"/>
        <v>2</v>
      </c>
      <c r="U206">
        <f t="shared" si="34"/>
        <v>1910.08</v>
      </c>
      <c r="V206">
        <f t="shared" si="35"/>
        <v>1965.08</v>
      </c>
      <c r="W206">
        <f t="shared" si="36"/>
        <v>0.2</v>
      </c>
      <c r="X206">
        <f t="shared" si="37"/>
        <v>382.01600000000002</v>
      </c>
      <c r="Y206">
        <f t="shared" si="38"/>
        <v>1583.0639999999999</v>
      </c>
      <c r="Z206" t="str">
        <f t="shared" si="39"/>
        <v>Jodi Whitney</v>
      </c>
      <c r="AA206" s="1" t="str">
        <f t="shared" si="40"/>
        <v>Before Time</v>
      </c>
      <c r="AB206" t="str">
        <f t="shared" si="41"/>
        <v>Jul</v>
      </c>
      <c r="AC206" s="9">
        <f t="shared" si="42"/>
        <v>2023</v>
      </c>
      <c r="AD206" t="str">
        <f t="shared" si="43"/>
        <v>yahoo.com</v>
      </c>
    </row>
    <row r="207" spans="1:30" x14ac:dyDescent="0.3">
      <c r="A207" t="s">
        <v>90</v>
      </c>
      <c r="B207" t="s">
        <v>139</v>
      </c>
      <c r="C207" t="s">
        <v>266</v>
      </c>
      <c r="D207">
        <v>55</v>
      </c>
      <c r="E207" t="s">
        <v>289</v>
      </c>
      <c r="F207" t="s">
        <v>293</v>
      </c>
      <c r="G207" t="s">
        <v>371</v>
      </c>
      <c r="H207" t="s">
        <v>471</v>
      </c>
      <c r="I207" t="s">
        <v>612</v>
      </c>
      <c r="J207" s="1">
        <v>45168</v>
      </c>
      <c r="K207" t="s">
        <v>1112</v>
      </c>
      <c r="L207" t="s">
        <v>1516</v>
      </c>
      <c r="M207">
        <v>126.19</v>
      </c>
      <c r="N207">
        <v>2</v>
      </c>
      <c r="O207" t="s">
        <v>1547</v>
      </c>
      <c r="P207">
        <v>5</v>
      </c>
      <c r="Q207">
        <v>59</v>
      </c>
      <c r="R207" s="1">
        <v>45174</v>
      </c>
      <c r="S207" t="s">
        <v>1664</v>
      </c>
      <c r="T207">
        <f t="shared" si="33"/>
        <v>6</v>
      </c>
      <c r="U207">
        <f t="shared" si="34"/>
        <v>252.38</v>
      </c>
      <c r="V207">
        <f t="shared" si="35"/>
        <v>252.38</v>
      </c>
      <c r="W207">
        <f t="shared" si="36"/>
        <v>0</v>
      </c>
      <c r="X207">
        <f t="shared" si="37"/>
        <v>0</v>
      </c>
      <c r="Y207">
        <f t="shared" si="38"/>
        <v>252.38</v>
      </c>
      <c r="Z207" t="str">
        <f t="shared" si="39"/>
        <v>Mark Summers</v>
      </c>
      <c r="AA207" s="1" t="str">
        <f t="shared" si="40"/>
        <v>Late</v>
      </c>
      <c r="AB207" t="str">
        <f t="shared" si="41"/>
        <v>Aug</v>
      </c>
      <c r="AC207" s="9">
        <f t="shared" si="42"/>
        <v>2023</v>
      </c>
      <c r="AD207" t="str">
        <f t="shared" si="43"/>
        <v>outlook.com</v>
      </c>
    </row>
    <row r="208" spans="1:30" x14ac:dyDescent="0.3">
      <c r="A208" t="s">
        <v>89</v>
      </c>
      <c r="B208" t="s">
        <v>179</v>
      </c>
      <c r="C208" t="s">
        <v>265</v>
      </c>
      <c r="D208">
        <v>30</v>
      </c>
      <c r="E208" t="s">
        <v>288</v>
      </c>
      <c r="F208" t="s">
        <v>293</v>
      </c>
      <c r="G208" t="s">
        <v>370</v>
      </c>
      <c r="H208" t="s">
        <v>470</v>
      </c>
      <c r="I208" t="s">
        <v>705</v>
      </c>
      <c r="J208" s="1">
        <v>45320</v>
      </c>
      <c r="K208" t="s">
        <v>1205</v>
      </c>
      <c r="L208" t="s">
        <v>1532</v>
      </c>
      <c r="M208">
        <v>87.09</v>
      </c>
      <c r="N208">
        <v>1</v>
      </c>
      <c r="O208" t="s">
        <v>1549</v>
      </c>
      <c r="P208">
        <v>1</v>
      </c>
      <c r="Q208">
        <v>61</v>
      </c>
      <c r="R208" s="1">
        <v>45321</v>
      </c>
      <c r="S208" t="s">
        <v>1757</v>
      </c>
      <c r="T208">
        <f t="shared" si="33"/>
        <v>1</v>
      </c>
      <c r="U208">
        <f t="shared" si="34"/>
        <v>87.09</v>
      </c>
      <c r="V208">
        <f t="shared" si="35"/>
        <v>148.09</v>
      </c>
      <c r="W208">
        <f t="shared" si="36"/>
        <v>0.1</v>
      </c>
      <c r="X208">
        <f t="shared" si="37"/>
        <v>8.7090000000000014</v>
      </c>
      <c r="Y208">
        <f t="shared" si="38"/>
        <v>139.381</v>
      </c>
      <c r="Z208" t="str">
        <f t="shared" si="39"/>
        <v>Melissa Levy</v>
      </c>
      <c r="AA208" s="1" t="str">
        <f t="shared" si="40"/>
        <v>In Time</v>
      </c>
      <c r="AB208" t="str">
        <f t="shared" si="41"/>
        <v>Jan</v>
      </c>
      <c r="AC208" s="9">
        <f t="shared" si="42"/>
        <v>2024</v>
      </c>
      <c r="AD208" t="str">
        <f t="shared" si="43"/>
        <v>rediffmail.com</v>
      </c>
    </row>
    <row r="209" spans="1:30" x14ac:dyDescent="0.3">
      <c r="A209" t="s">
        <v>58</v>
      </c>
      <c r="B209" t="s">
        <v>140</v>
      </c>
      <c r="C209" t="s">
        <v>239</v>
      </c>
      <c r="D209">
        <v>40</v>
      </c>
      <c r="E209" t="s">
        <v>290</v>
      </c>
      <c r="F209" t="s">
        <v>297</v>
      </c>
      <c r="G209" t="s">
        <v>339</v>
      </c>
      <c r="H209" t="s">
        <v>439</v>
      </c>
      <c r="I209" t="s">
        <v>706</v>
      </c>
      <c r="J209" s="1">
        <v>45074</v>
      </c>
      <c r="K209" t="s">
        <v>1206</v>
      </c>
      <c r="L209" t="s">
        <v>1521</v>
      </c>
      <c r="M209">
        <v>110.95</v>
      </c>
      <c r="N209">
        <v>3</v>
      </c>
      <c r="O209" t="s">
        <v>1549</v>
      </c>
      <c r="P209">
        <v>6</v>
      </c>
      <c r="Q209">
        <v>65</v>
      </c>
      <c r="R209" s="1">
        <v>45079</v>
      </c>
      <c r="S209" t="s">
        <v>1758</v>
      </c>
      <c r="T209">
        <f t="shared" si="33"/>
        <v>5</v>
      </c>
      <c r="U209">
        <f t="shared" si="34"/>
        <v>332.85</v>
      </c>
      <c r="V209">
        <f t="shared" si="35"/>
        <v>397.85</v>
      </c>
      <c r="W209">
        <f t="shared" si="36"/>
        <v>0.1</v>
      </c>
      <c r="X209">
        <f t="shared" si="37"/>
        <v>33.285000000000004</v>
      </c>
      <c r="Y209">
        <f t="shared" si="38"/>
        <v>364.565</v>
      </c>
      <c r="Z209" t="str">
        <f t="shared" si="39"/>
        <v>Jason Lopez</v>
      </c>
      <c r="AA209" s="1" t="str">
        <f t="shared" si="40"/>
        <v>Before Time</v>
      </c>
      <c r="AB209" t="str">
        <f t="shared" si="41"/>
        <v>May</v>
      </c>
      <c r="AC209" s="9">
        <f t="shared" si="42"/>
        <v>2023</v>
      </c>
      <c r="AD209" t="str">
        <f t="shared" si="43"/>
        <v>outlook.com</v>
      </c>
    </row>
    <row r="210" spans="1:30" x14ac:dyDescent="0.3">
      <c r="A210" t="s">
        <v>80</v>
      </c>
      <c r="B210" t="s">
        <v>131</v>
      </c>
      <c r="C210" t="s">
        <v>257</v>
      </c>
      <c r="D210">
        <v>44</v>
      </c>
      <c r="E210" t="s">
        <v>290</v>
      </c>
      <c r="F210" t="s">
        <v>296</v>
      </c>
      <c r="G210" t="s">
        <v>361</v>
      </c>
      <c r="H210" t="s">
        <v>461</v>
      </c>
      <c r="I210" t="s">
        <v>707</v>
      </c>
      <c r="J210" s="1">
        <v>45285</v>
      </c>
      <c r="K210" t="s">
        <v>1207</v>
      </c>
      <c r="L210" t="s">
        <v>1546</v>
      </c>
      <c r="M210">
        <v>33.49</v>
      </c>
      <c r="N210">
        <v>1</v>
      </c>
      <c r="O210" t="s">
        <v>2047</v>
      </c>
      <c r="P210">
        <v>2</v>
      </c>
      <c r="Q210">
        <v>67</v>
      </c>
      <c r="R210" s="1">
        <v>45286</v>
      </c>
      <c r="S210" t="s">
        <v>1759</v>
      </c>
      <c r="T210">
        <f t="shared" si="33"/>
        <v>1</v>
      </c>
      <c r="U210">
        <f t="shared" si="34"/>
        <v>33.49</v>
      </c>
      <c r="V210">
        <f t="shared" si="35"/>
        <v>100.49000000000001</v>
      </c>
      <c r="W210">
        <f t="shared" si="36"/>
        <v>0.08</v>
      </c>
      <c r="X210">
        <f t="shared" si="37"/>
        <v>2.6792000000000002</v>
      </c>
      <c r="Y210">
        <f t="shared" si="38"/>
        <v>97.810800000000015</v>
      </c>
      <c r="Z210" t="str">
        <f t="shared" si="39"/>
        <v>Amy Ellis</v>
      </c>
      <c r="AA210" s="1" t="str">
        <f t="shared" si="40"/>
        <v>Before Time</v>
      </c>
      <c r="AB210" t="str">
        <f t="shared" si="41"/>
        <v>Dec</v>
      </c>
      <c r="AC210" s="9">
        <f t="shared" si="42"/>
        <v>2023</v>
      </c>
      <c r="AD210" t="str">
        <f t="shared" si="43"/>
        <v>gmail.com</v>
      </c>
    </row>
    <row r="211" spans="1:30" x14ac:dyDescent="0.3">
      <c r="A211" t="s">
        <v>60</v>
      </c>
      <c r="B211" t="s">
        <v>157</v>
      </c>
      <c r="C211" t="s">
        <v>241</v>
      </c>
      <c r="D211">
        <v>52</v>
      </c>
      <c r="E211" t="s">
        <v>290</v>
      </c>
      <c r="F211" t="s">
        <v>298</v>
      </c>
      <c r="G211" t="s">
        <v>341</v>
      </c>
      <c r="H211" t="s">
        <v>441</v>
      </c>
      <c r="I211" t="s">
        <v>708</v>
      </c>
      <c r="J211" s="1">
        <v>45001</v>
      </c>
      <c r="K211" t="s">
        <v>1208</v>
      </c>
      <c r="L211" t="s">
        <v>1534</v>
      </c>
      <c r="M211">
        <v>425.59</v>
      </c>
      <c r="N211">
        <v>3</v>
      </c>
      <c r="O211" t="s">
        <v>2047</v>
      </c>
      <c r="P211">
        <v>7</v>
      </c>
      <c r="Q211">
        <v>68</v>
      </c>
      <c r="R211" s="1">
        <v>45005</v>
      </c>
      <c r="S211" t="s">
        <v>1276</v>
      </c>
      <c r="T211">
        <f t="shared" si="33"/>
        <v>4</v>
      </c>
      <c r="U211">
        <f t="shared" si="34"/>
        <v>1276.77</v>
      </c>
      <c r="V211">
        <f t="shared" si="35"/>
        <v>1344.77</v>
      </c>
      <c r="W211">
        <f t="shared" si="36"/>
        <v>0.08</v>
      </c>
      <c r="X211">
        <f t="shared" si="37"/>
        <v>102.1416</v>
      </c>
      <c r="Y211">
        <f t="shared" si="38"/>
        <v>1242.6284000000001</v>
      </c>
      <c r="Z211" t="str">
        <f t="shared" si="39"/>
        <v>Amanda Howard</v>
      </c>
      <c r="AA211" s="1" t="str">
        <f t="shared" si="40"/>
        <v>Before Time</v>
      </c>
      <c r="AB211" t="str">
        <f t="shared" si="41"/>
        <v>Mar</v>
      </c>
      <c r="AC211" s="9">
        <f t="shared" si="42"/>
        <v>2023</v>
      </c>
      <c r="AD211" t="str">
        <f t="shared" si="43"/>
        <v>outlook.com</v>
      </c>
    </row>
    <row r="212" spans="1:30" x14ac:dyDescent="0.3">
      <c r="A212" t="s">
        <v>90</v>
      </c>
      <c r="B212" t="s">
        <v>139</v>
      </c>
      <c r="C212" t="s">
        <v>266</v>
      </c>
      <c r="D212">
        <v>55</v>
      </c>
      <c r="E212" t="s">
        <v>289</v>
      </c>
      <c r="F212" t="s">
        <v>293</v>
      </c>
      <c r="G212" t="s">
        <v>371</v>
      </c>
      <c r="H212" t="s">
        <v>471</v>
      </c>
      <c r="I212" t="s">
        <v>704</v>
      </c>
      <c r="J212" s="1">
        <v>45039</v>
      </c>
      <c r="K212" t="s">
        <v>1204</v>
      </c>
      <c r="L212" t="s">
        <v>1499</v>
      </c>
      <c r="M212">
        <v>441.03</v>
      </c>
      <c r="N212">
        <v>5</v>
      </c>
      <c r="O212" t="s">
        <v>1548</v>
      </c>
      <c r="P212">
        <v>3</v>
      </c>
      <c r="Q212">
        <v>37</v>
      </c>
      <c r="R212" s="1">
        <v>45044</v>
      </c>
      <c r="S212" t="s">
        <v>1756</v>
      </c>
      <c r="T212">
        <f t="shared" si="33"/>
        <v>5</v>
      </c>
      <c r="U212">
        <f t="shared" si="34"/>
        <v>2205.1499999999996</v>
      </c>
      <c r="V212">
        <f t="shared" si="35"/>
        <v>2242.1499999999996</v>
      </c>
      <c r="W212">
        <f t="shared" si="36"/>
        <v>0.15</v>
      </c>
      <c r="X212">
        <f t="shared" si="37"/>
        <v>330.77249999999992</v>
      </c>
      <c r="Y212">
        <f t="shared" si="38"/>
        <v>1911.3774999999996</v>
      </c>
      <c r="Z212" t="str">
        <f t="shared" si="39"/>
        <v>Mark Summers</v>
      </c>
      <c r="AA212" s="1" t="str">
        <f t="shared" si="40"/>
        <v>Late</v>
      </c>
      <c r="AB212" t="str">
        <f t="shared" si="41"/>
        <v>Apr</v>
      </c>
      <c r="AC212" s="9">
        <f t="shared" si="42"/>
        <v>2023</v>
      </c>
      <c r="AD212" t="str">
        <f t="shared" si="43"/>
        <v>outlook.com</v>
      </c>
    </row>
    <row r="213" spans="1:30" x14ac:dyDescent="0.3">
      <c r="A213" t="s">
        <v>42</v>
      </c>
      <c r="B213" t="s">
        <v>140</v>
      </c>
      <c r="C213" t="s">
        <v>223</v>
      </c>
      <c r="D213">
        <v>51</v>
      </c>
      <c r="E213" t="s">
        <v>290</v>
      </c>
      <c r="F213" t="s">
        <v>294</v>
      </c>
      <c r="G213" t="s">
        <v>323</v>
      </c>
      <c r="H213" t="s">
        <v>423</v>
      </c>
      <c r="I213" t="s">
        <v>996</v>
      </c>
      <c r="J213" s="1">
        <v>45339</v>
      </c>
      <c r="K213" t="s">
        <v>1494</v>
      </c>
      <c r="L213" t="s">
        <v>1523</v>
      </c>
      <c r="M213">
        <v>129.75</v>
      </c>
      <c r="N213">
        <v>3</v>
      </c>
      <c r="O213" t="s">
        <v>1548</v>
      </c>
      <c r="P213">
        <v>5</v>
      </c>
      <c r="Q213">
        <v>37</v>
      </c>
      <c r="R213" s="1">
        <v>45341</v>
      </c>
      <c r="S213" t="s">
        <v>2044</v>
      </c>
      <c r="T213">
        <f t="shared" si="33"/>
        <v>2</v>
      </c>
      <c r="U213">
        <f t="shared" si="34"/>
        <v>389.25</v>
      </c>
      <c r="V213">
        <f t="shared" si="35"/>
        <v>426.25</v>
      </c>
      <c r="W213">
        <f t="shared" si="36"/>
        <v>0.15</v>
      </c>
      <c r="X213">
        <f t="shared" si="37"/>
        <v>58.387499999999996</v>
      </c>
      <c r="Y213">
        <f t="shared" si="38"/>
        <v>367.86250000000001</v>
      </c>
      <c r="Z213" t="str">
        <f t="shared" si="39"/>
        <v>Jason Nguyen</v>
      </c>
      <c r="AA213" s="1" t="str">
        <f t="shared" si="40"/>
        <v>Before Time</v>
      </c>
      <c r="AB213" t="str">
        <f t="shared" si="41"/>
        <v>Feb</v>
      </c>
      <c r="AC213" s="9">
        <f t="shared" si="42"/>
        <v>2024</v>
      </c>
      <c r="AD213" t="str">
        <f t="shared" si="43"/>
        <v>yahoo.com</v>
      </c>
    </row>
    <row r="214" spans="1:30" x14ac:dyDescent="0.3">
      <c r="A214" t="s">
        <v>103</v>
      </c>
      <c r="B214" t="s">
        <v>191</v>
      </c>
      <c r="C214" t="s">
        <v>277</v>
      </c>
      <c r="D214">
        <v>18</v>
      </c>
      <c r="E214" t="s">
        <v>288</v>
      </c>
      <c r="F214" t="s">
        <v>295</v>
      </c>
      <c r="G214" t="s">
        <v>384</v>
      </c>
      <c r="H214" t="s">
        <v>484</v>
      </c>
      <c r="I214" t="s">
        <v>677</v>
      </c>
      <c r="J214" s="1">
        <v>45349</v>
      </c>
      <c r="K214" t="s">
        <v>1177</v>
      </c>
      <c r="L214" t="s">
        <v>1539</v>
      </c>
      <c r="M214">
        <v>235.63</v>
      </c>
      <c r="N214">
        <v>1</v>
      </c>
      <c r="O214" t="s">
        <v>2047</v>
      </c>
      <c r="P214">
        <v>6</v>
      </c>
      <c r="Q214">
        <v>58</v>
      </c>
      <c r="R214" s="1">
        <v>45354</v>
      </c>
      <c r="S214" t="s">
        <v>1729</v>
      </c>
      <c r="T214">
        <f t="shared" si="33"/>
        <v>5</v>
      </c>
      <c r="U214">
        <f t="shared" si="34"/>
        <v>235.63</v>
      </c>
      <c r="V214">
        <f t="shared" si="35"/>
        <v>293.63</v>
      </c>
      <c r="W214">
        <f t="shared" si="36"/>
        <v>0.08</v>
      </c>
      <c r="X214">
        <f t="shared" si="37"/>
        <v>18.8504</v>
      </c>
      <c r="Y214">
        <f t="shared" si="38"/>
        <v>274.77960000000002</v>
      </c>
      <c r="Z214" t="str">
        <f t="shared" si="39"/>
        <v>Gary Huff</v>
      </c>
      <c r="AA214" s="1" t="str">
        <f t="shared" si="40"/>
        <v>Before Time</v>
      </c>
      <c r="AB214" t="str">
        <f t="shared" si="41"/>
        <v>Feb</v>
      </c>
      <c r="AC214" s="9">
        <f t="shared" si="42"/>
        <v>2024</v>
      </c>
      <c r="AD214" t="str">
        <f t="shared" si="43"/>
        <v>gmail.com</v>
      </c>
    </row>
    <row r="215" spans="1:30" x14ac:dyDescent="0.3">
      <c r="A215" t="s">
        <v>34</v>
      </c>
      <c r="B215" t="s">
        <v>134</v>
      </c>
      <c r="C215" t="s">
        <v>216</v>
      </c>
      <c r="D215">
        <v>36</v>
      </c>
      <c r="E215" t="s">
        <v>290</v>
      </c>
      <c r="F215" t="s">
        <v>294</v>
      </c>
      <c r="G215" t="s">
        <v>315</v>
      </c>
      <c r="H215" t="s">
        <v>415</v>
      </c>
      <c r="I215" t="s">
        <v>712</v>
      </c>
      <c r="J215" s="1">
        <v>45549</v>
      </c>
      <c r="K215" t="s">
        <v>1212</v>
      </c>
      <c r="L215" t="s">
        <v>1533</v>
      </c>
      <c r="M215">
        <v>136.30000000000001</v>
      </c>
      <c r="N215">
        <v>2</v>
      </c>
      <c r="O215" t="s">
        <v>1550</v>
      </c>
      <c r="P215">
        <v>7</v>
      </c>
      <c r="Q215">
        <v>51</v>
      </c>
      <c r="R215" s="1">
        <v>45550</v>
      </c>
      <c r="S215" t="s">
        <v>1763</v>
      </c>
      <c r="T215">
        <f t="shared" si="33"/>
        <v>1</v>
      </c>
      <c r="U215">
        <f t="shared" si="34"/>
        <v>272.60000000000002</v>
      </c>
      <c r="V215">
        <f t="shared" si="35"/>
        <v>323.60000000000002</v>
      </c>
      <c r="W215">
        <f t="shared" si="36"/>
        <v>0.2</v>
      </c>
      <c r="X215">
        <f t="shared" si="37"/>
        <v>54.52000000000001</v>
      </c>
      <c r="Y215">
        <f t="shared" si="38"/>
        <v>269.08000000000004</v>
      </c>
      <c r="Z215" t="str">
        <f t="shared" si="39"/>
        <v>Gina Moreno</v>
      </c>
      <c r="AA215" s="1" t="str">
        <f t="shared" si="40"/>
        <v>Before Time</v>
      </c>
      <c r="AB215" t="str">
        <f t="shared" si="41"/>
        <v>Sep</v>
      </c>
      <c r="AC215" s="9">
        <f t="shared" si="42"/>
        <v>2024</v>
      </c>
      <c r="AD215" t="str">
        <f t="shared" si="43"/>
        <v>rediffmail.com</v>
      </c>
    </row>
    <row r="216" spans="1:30" x14ac:dyDescent="0.3">
      <c r="A216" t="s">
        <v>67</v>
      </c>
      <c r="B216" t="s">
        <v>161</v>
      </c>
      <c r="C216" t="s">
        <v>211</v>
      </c>
      <c r="D216">
        <v>68</v>
      </c>
      <c r="E216" t="s">
        <v>290</v>
      </c>
      <c r="F216" t="s">
        <v>298</v>
      </c>
      <c r="G216" t="s">
        <v>348</v>
      </c>
      <c r="H216" t="s">
        <v>448</v>
      </c>
      <c r="I216" t="s">
        <v>713</v>
      </c>
      <c r="J216" s="1">
        <v>45112</v>
      </c>
      <c r="K216" t="s">
        <v>1213</v>
      </c>
      <c r="L216" t="s">
        <v>1544</v>
      </c>
      <c r="M216">
        <v>107.47</v>
      </c>
      <c r="N216">
        <v>4</v>
      </c>
      <c r="O216" t="s">
        <v>1550</v>
      </c>
      <c r="P216">
        <v>5</v>
      </c>
      <c r="Q216">
        <v>51</v>
      </c>
      <c r="R216" s="1">
        <v>45115</v>
      </c>
      <c r="S216" t="s">
        <v>1764</v>
      </c>
      <c r="T216">
        <f t="shared" si="33"/>
        <v>3</v>
      </c>
      <c r="U216">
        <f t="shared" si="34"/>
        <v>429.88</v>
      </c>
      <c r="V216">
        <f t="shared" si="35"/>
        <v>480.88</v>
      </c>
      <c r="W216">
        <f t="shared" si="36"/>
        <v>0.2</v>
      </c>
      <c r="X216">
        <f t="shared" si="37"/>
        <v>85.975999999999999</v>
      </c>
      <c r="Y216">
        <f t="shared" si="38"/>
        <v>394.904</v>
      </c>
      <c r="Z216" t="str">
        <f t="shared" si="39"/>
        <v>Brittany Stewart</v>
      </c>
      <c r="AA216" s="1" t="str">
        <f t="shared" si="40"/>
        <v>Before Time</v>
      </c>
      <c r="AB216" t="str">
        <f t="shared" si="41"/>
        <v>Jul</v>
      </c>
      <c r="AC216" s="9">
        <f t="shared" si="42"/>
        <v>2023</v>
      </c>
      <c r="AD216" t="str">
        <f t="shared" si="43"/>
        <v>gmail.com</v>
      </c>
    </row>
    <row r="217" spans="1:30" x14ac:dyDescent="0.3">
      <c r="A217" t="s">
        <v>47</v>
      </c>
      <c r="B217" t="s">
        <v>145</v>
      </c>
      <c r="C217" t="s">
        <v>228</v>
      </c>
      <c r="D217">
        <v>24</v>
      </c>
      <c r="E217" t="s">
        <v>290</v>
      </c>
      <c r="F217" t="s">
        <v>298</v>
      </c>
      <c r="G217" t="s">
        <v>328</v>
      </c>
      <c r="H217" t="s">
        <v>428</v>
      </c>
      <c r="I217" t="s">
        <v>662</v>
      </c>
      <c r="J217" s="1">
        <v>45271</v>
      </c>
      <c r="K217" t="s">
        <v>1162</v>
      </c>
      <c r="L217" t="s">
        <v>1504</v>
      </c>
      <c r="M217">
        <v>275.44</v>
      </c>
      <c r="N217">
        <v>2</v>
      </c>
      <c r="O217" t="s">
        <v>2047</v>
      </c>
      <c r="P217">
        <v>2</v>
      </c>
      <c r="Q217">
        <v>36</v>
      </c>
      <c r="R217" s="1">
        <v>45276</v>
      </c>
      <c r="S217" t="s">
        <v>1714</v>
      </c>
      <c r="T217">
        <f t="shared" si="33"/>
        <v>5</v>
      </c>
      <c r="U217">
        <f t="shared" si="34"/>
        <v>550.88</v>
      </c>
      <c r="V217">
        <f t="shared" si="35"/>
        <v>586.88</v>
      </c>
      <c r="W217">
        <f t="shared" si="36"/>
        <v>0.08</v>
      </c>
      <c r="X217">
        <f t="shared" si="37"/>
        <v>44.070399999999999</v>
      </c>
      <c r="Y217">
        <f t="shared" si="38"/>
        <v>542.80960000000005</v>
      </c>
      <c r="Z217" t="str">
        <f t="shared" si="39"/>
        <v>Rachael Robinson</v>
      </c>
      <c r="AA217" s="1" t="str">
        <f t="shared" si="40"/>
        <v>Late</v>
      </c>
      <c r="AB217" t="str">
        <f t="shared" si="41"/>
        <v>Dec</v>
      </c>
      <c r="AC217" s="9">
        <f t="shared" si="42"/>
        <v>2023</v>
      </c>
      <c r="AD217" t="str">
        <f t="shared" si="43"/>
        <v>rediffmail.com</v>
      </c>
    </row>
    <row r="218" spans="1:30" x14ac:dyDescent="0.3">
      <c r="A218" t="s">
        <v>75</v>
      </c>
      <c r="B218" t="s">
        <v>168</v>
      </c>
      <c r="C218" t="s">
        <v>253</v>
      </c>
      <c r="D218">
        <v>32</v>
      </c>
      <c r="E218" t="s">
        <v>288</v>
      </c>
      <c r="F218" t="s">
        <v>293</v>
      </c>
      <c r="G218" t="s">
        <v>356</v>
      </c>
      <c r="H218" t="s">
        <v>456</v>
      </c>
      <c r="I218" t="s">
        <v>639</v>
      </c>
      <c r="J218" s="1">
        <v>45588</v>
      </c>
      <c r="K218" t="s">
        <v>1139</v>
      </c>
      <c r="L218" t="s">
        <v>1544</v>
      </c>
      <c r="M218">
        <v>107.47</v>
      </c>
      <c r="N218">
        <v>2</v>
      </c>
      <c r="O218" t="s">
        <v>1548</v>
      </c>
      <c r="P218">
        <v>5</v>
      </c>
      <c r="Q218">
        <v>55</v>
      </c>
      <c r="R218" s="1">
        <v>45592</v>
      </c>
      <c r="S218" t="s">
        <v>1691</v>
      </c>
      <c r="T218">
        <f t="shared" si="33"/>
        <v>4</v>
      </c>
      <c r="U218">
        <f t="shared" si="34"/>
        <v>214.94</v>
      </c>
      <c r="V218">
        <f t="shared" si="35"/>
        <v>269.94</v>
      </c>
      <c r="W218">
        <f t="shared" si="36"/>
        <v>0.15</v>
      </c>
      <c r="X218">
        <f t="shared" si="37"/>
        <v>32.241</v>
      </c>
      <c r="Y218">
        <f t="shared" si="38"/>
        <v>237.69900000000001</v>
      </c>
      <c r="Z218" t="str">
        <f t="shared" si="39"/>
        <v>Lindsey Byrd</v>
      </c>
      <c r="AA218" s="1" t="str">
        <f t="shared" si="40"/>
        <v>Before Time</v>
      </c>
      <c r="AB218" t="str">
        <f t="shared" si="41"/>
        <v>Oct</v>
      </c>
      <c r="AC218" s="9">
        <f t="shared" si="42"/>
        <v>2024</v>
      </c>
      <c r="AD218" t="str">
        <f t="shared" si="43"/>
        <v>rediffmail.com</v>
      </c>
    </row>
    <row r="219" spans="1:30" x14ac:dyDescent="0.3">
      <c r="A219" t="s">
        <v>22</v>
      </c>
      <c r="B219" t="s">
        <v>122</v>
      </c>
      <c r="C219" t="s">
        <v>204</v>
      </c>
      <c r="D219">
        <v>49</v>
      </c>
      <c r="E219" t="s">
        <v>290</v>
      </c>
      <c r="F219" t="s">
        <v>291</v>
      </c>
      <c r="G219" t="s">
        <v>303</v>
      </c>
      <c r="H219" t="s">
        <v>403</v>
      </c>
      <c r="I219" t="s">
        <v>716</v>
      </c>
      <c r="J219" s="1">
        <v>45578</v>
      </c>
      <c r="K219" t="s">
        <v>1216</v>
      </c>
      <c r="L219" t="s">
        <v>1522</v>
      </c>
      <c r="M219">
        <v>158.53</v>
      </c>
      <c r="N219">
        <v>5</v>
      </c>
      <c r="O219" t="s">
        <v>2047</v>
      </c>
      <c r="P219">
        <v>2</v>
      </c>
      <c r="Q219">
        <v>64</v>
      </c>
      <c r="R219" s="1">
        <v>45582</v>
      </c>
      <c r="S219" t="s">
        <v>1767</v>
      </c>
      <c r="T219">
        <f t="shared" si="33"/>
        <v>4</v>
      </c>
      <c r="U219">
        <f t="shared" si="34"/>
        <v>792.65</v>
      </c>
      <c r="V219">
        <f t="shared" si="35"/>
        <v>856.65</v>
      </c>
      <c r="W219">
        <f t="shared" si="36"/>
        <v>0.08</v>
      </c>
      <c r="X219">
        <f t="shared" si="37"/>
        <v>63.411999999999999</v>
      </c>
      <c r="Y219">
        <f t="shared" si="38"/>
        <v>793.23799999999994</v>
      </c>
      <c r="Z219" t="str">
        <f t="shared" si="39"/>
        <v>Angela Horne</v>
      </c>
      <c r="AA219" s="1" t="str">
        <f t="shared" si="40"/>
        <v>Late</v>
      </c>
      <c r="AB219" t="str">
        <f t="shared" si="41"/>
        <v>Oct</v>
      </c>
      <c r="AC219" s="9">
        <f t="shared" si="42"/>
        <v>2024</v>
      </c>
      <c r="AD219" t="str">
        <f t="shared" si="43"/>
        <v>outlook.com</v>
      </c>
    </row>
    <row r="220" spans="1:30" x14ac:dyDescent="0.3">
      <c r="A220" t="s">
        <v>38</v>
      </c>
      <c r="B220" t="s">
        <v>138</v>
      </c>
      <c r="C220" t="s">
        <v>219</v>
      </c>
      <c r="D220">
        <v>39</v>
      </c>
      <c r="E220" t="s">
        <v>289</v>
      </c>
      <c r="F220" t="s">
        <v>293</v>
      </c>
      <c r="G220" t="s">
        <v>319</v>
      </c>
      <c r="H220" t="s">
        <v>419</v>
      </c>
      <c r="I220" t="s">
        <v>717</v>
      </c>
      <c r="J220" s="1">
        <v>45541</v>
      </c>
      <c r="K220" t="s">
        <v>1217</v>
      </c>
      <c r="L220" t="s">
        <v>1503</v>
      </c>
      <c r="M220">
        <v>363.64</v>
      </c>
      <c r="N220">
        <v>2</v>
      </c>
      <c r="O220" t="s">
        <v>1550</v>
      </c>
      <c r="P220">
        <v>6</v>
      </c>
      <c r="Q220">
        <v>37</v>
      </c>
      <c r="R220" s="1">
        <v>45544</v>
      </c>
      <c r="S220" t="s">
        <v>1768</v>
      </c>
      <c r="T220">
        <f t="shared" si="33"/>
        <v>3</v>
      </c>
      <c r="U220">
        <f t="shared" si="34"/>
        <v>727.28</v>
      </c>
      <c r="V220">
        <f t="shared" si="35"/>
        <v>764.28</v>
      </c>
      <c r="W220">
        <f t="shared" si="36"/>
        <v>0.2</v>
      </c>
      <c r="X220">
        <f t="shared" si="37"/>
        <v>145.45599999999999</v>
      </c>
      <c r="Y220">
        <f t="shared" si="38"/>
        <v>618.82399999999996</v>
      </c>
      <c r="Z220" t="str">
        <f t="shared" si="39"/>
        <v>Christian Clayton</v>
      </c>
      <c r="AA220" s="1" t="str">
        <f t="shared" si="40"/>
        <v>Before Time</v>
      </c>
      <c r="AB220" t="str">
        <f t="shared" si="41"/>
        <v>Sep</v>
      </c>
      <c r="AC220" s="9">
        <f t="shared" si="42"/>
        <v>2024</v>
      </c>
      <c r="AD220" t="str">
        <f t="shared" si="43"/>
        <v>yahoo.com</v>
      </c>
    </row>
    <row r="221" spans="1:30" x14ac:dyDescent="0.3">
      <c r="A221" t="s">
        <v>52</v>
      </c>
      <c r="B221" t="s">
        <v>150</v>
      </c>
      <c r="C221" t="s">
        <v>233</v>
      </c>
      <c r="D221">
        <v>23</v>
      </c>
      <c r="E221" t="s">
        <v>288</v>
      </c>
      <c r="F221" t="s">
        <v>291</v>
      </c>
      <c r="G221" t="s">
        <v>333</v>
      </c>
      <c r="H221" t="s">
        <v>433</v>
      </c>
      <c r="I221" t="s">
        <v>718</v>
      </c>
      <c r="J221" s="1">
        <v>45504</v>
      </c>
      <c r="K221" t="s">
        <v>1218</v>
      </c>
      <c r="L221" t="s">
        <v>1533</v>
      </c>
      <c r="M221">
        <v>136.30000000000001</v>
      </c>
      <c r="N221">
        <v>2</v>
      </c>
      <c r="O221" t="s">
        <v>1549</v>
      </c>
      <c r="P221">
        <v>3</v>
      </c>
      <c r="Q221">
        <v>47</v>
      </c>
      <c r="R221" s="1">
        <v>45511</v>
      </c>
      <c r="S221" t="s">
        <v>1769</v>
      </c>
      <c r="T221">
        <f t="shared" si="33"/>
        <v>7</v>
      </c>
      <c r="U221">
        <f t="shared" si="34"/>
        <v>272.60000000000002</v>
      </c>
      <c r="V221">
        <f t="shared" si="35"/>
        <v>319.60000000000002</v>
      </c>
      <c r="W221">
        <f t="shared" si="36"/>
        <v>0.1</v>
      </c>
      <c r="X221">
        <f t="shared" si="37"/>
        <v>27.260000000000005</v>
      </c>
      <c r="Y221">
        <f t="shared" si="38"/>
        <v>292.34000000000003</v>
      </c>
      <c r="Z221" t="str">
        <f t="shared" si="39"/>
        <v>Julie Meyer</v>
      </c>
      <c r="AA221" s="1" t="str">
        <f t="shared" si="40"/>
        <v>Late</v>
      </c>
      <c r="AB221" t="str">
        <f t="shared" si="41"/>
        <v>Jul</v>
      </c>
      <c r="AC221" s="9">
        <f t="shared" si="42"/>
        <v>2024</v>
      </c>
      <c r="AD221" t="str">
        <f t="shared" si="43"/>
        <v>yahoo.com</v>
      </c>
    </row>
    <row r="222" spans="1:30" x14ac:dyDescent="0.3">
      <c r="A222" t="s">
        <v>90</v>
      </c>
      <c r="B222" t="s">
        <v>139</v>
      </c>
      <c r="C222" t="s">
        <v>266</v>
      </c>
      <c r="D222">
        <v>55</v>
      </c>
      <c r="E222" t="s">
        <v>289</v>
      </c>
      <c r="F222" t="s">
        <v>293</v>
      </c>
      <c r="G222" t="s">
        <v>371</v>
      </c>
      <c r="H222" t="s">
        <v>471</v>
      </c>
      <c r="I222" t="s">
        <v>709</v>
      </c>
      <c r="J222" s="1">
        <v>45408</v>
      </c>
      <c r="K222" t="s">
        <v>1209</v>
      </c>
      <c r="L222" t="s">
        <v>1530</v>
      </c>
      <c r="M222">
        <v>369.03</v>
      </c>
      <c r="N222">
        <v>3</v>
      </c>
      <c r="O222" t="s">
        <v>1550</v>
      </c>
      <c r="P222">
        <v>2</v>
      </c>
      <c r="Q222">
        <v>65</v>
      </c>
      <c r="R222" s="1">
        <v>45412</v>
      </c>
      <c r="S222" t="s">
        <v>1760</v>
      </c>
      <c r="T222">
        <f t="shared" si="33"/>
        <v>4</v>
      </c>
      <c r="U222">
        <f t="shared" si="34"/>
        <v>1107.0899999999999</v>
      </c>
      <c r="V222">
        <f t="shared" si="35"/>
        <v>1172.0899999999999</v>
      </c>
      <c r="W222">
        <f t="shared" si="36"/>
        <v>0.2</v>
      </c>
      <c r="X222">
        <f t="shared" si="37"/>
        <v>221.41800000000001</v>
      </c>
      <c r="Y222">
        <f t="shared" si="38"/>
        <v>950.67199999999991</v>
      </c>
      <c r="Z222" t="str">
        <f t="shared" si="39"/>
        <v>Mark Summers</v>
      </c>
      <c r="AA222" s="1" t="str">
        <f t="shared" si="40"/>
        <v>Late</v>
      </c>
      <c r="AB222" t="str">
        <f t="shared" si="41"/>
        <v>Apr</v>
      </c>
      <c r="AC222" s="9">
        <f t="shared" si="42"/>
        <v>2024</v>
      </c>
      <c r="AD222" t="str">
        <f t="shared" si="43"/>
        <v>outlook.com</v>
      </c>
    </row>
    <row r="223" spans="1:30" x14ac:dyDescent="0.3">
      <c r="A223" t="s">
        <v>45</v>
      </c>
      <c r="B223" t="s">
        <v>143</v>
      </c>
      <c r="C223" t="s">
        <v>226</v>
      </c>
      <c r="D223">
        <v>54</v>
      </c>
      <c r="E223" t="s">
        <v>289</v>
      </c>
      <c r="F223" t="s">
        <v>291</v>
      </c>
      <c r="G223" t="s">
        <v>326</v>
      </c>
      <c r="H223" t="s">
        <v>426</v>
      </c>
      <c r="I223" t="s">
        <v>720</v>
      </c>
      <c r="J223" s="1">
        <v>45105</v>
      </c>
      <c r="K223" t="s">
        <v>1220</v>
      </c>
      <c r="L223" t="s">
        <v>1543</v>
      </c>
      <c r="M223">
        <v>381.73</v>
      </c>
      <c r="N223">
        <v>2</v>
      </c>
      <c r="O223" t="s">
        <v>1548</v>
      </c>
      <c r="P223">
        <v>3</v>
      </c>
      <c r="Q223">
        <v>70</v>
      </c>
      <c r="R223" s="1">
        <v>45112</v>
      </c>
      <c r="S223" t="s">
        <v>1771</v>
      </c>
      <c r="T223">
        <f t="shared" si="33"/>
        <v>7</v>
      </c>
      <c r="U223">
        <f t="shared" si="34"/>
        <v>763.46</v>
      </c>
      <c r="V223">
        <f t="shared" si="35"/>
        <v>833.46</v>
      </c>
      <c r="W223">
        <f t="shared" si="36"/>
        <v>0.15</v>
      </c>
      <c r="X223">
        <f t="shared" si="37"/>
        <v>114.51900000000001</v>
      </c>
      <c r="Y223">
        <f t="shared" si="38"/>
        <v>718.94100000000003</v>
      </c>
      <c r="Z223" t="str">
        <f t="shared" si="39"/>
        <v>Taylor Davis</v>
      </c>
      <c r="AA223" s="1" t="str">
        <f t="shared" si="40"/>
        <v>Late</v>
      </c>
      <c r="AB223" t="str">
        <f t="shared" si="41"/>
        <v>Jun</v>
      </c>
      <c r="AC223" s="9">
        <f t="shared" si="42"/>
        <v>2023</v>
      </c>
      <c r="AD223" t="str">
        <f t="shared" si="43"/>
        <v>yahoo.com</v>
      </c>
    </row>
    <row r="224" spans="1:30" x14ac:dyDescent="0.3">
      <c r="A224" t="s">
        <v>81</v>
      </c>
      <c r="B224" t="s">
        <v>171</v>
      </c>
      <c r="C224" t="s">
        <v>258</v>
      </c>
      <c r="D224">
        <v>45</v>
      </c>
      <c r="E224" t="s">
        <v>290</v>
      </c>
      <c r="F224" t="s">
        <v>296</v>
      </c>
      <c r="G224" t="s">
        <v>362</v>
      </c>
      <c r="H224" t="s">
        <v>462</v>
      </c>
      <c r="I224" t="s">
        <v>721</v>
      </c>
      <c r="J224" s="1">
        <v>45677</v>
      </c>
      <c r="K224" t="s">
        <v>1221</v>
      </c>
      <c r="L224" t="s">
        <v>1519</v>
      </c>
      <c r="M224">
        <v>421.7</v>
      </c>
      <c r="N224">
        <v>3</v>
      </c>
      <c r="O224" t="s">
        <v>1549</v>
      </c>
      <c r="P224">
        <v>6</v>
      </c>
      <c r="Q224">
        <v>38</v>
      </c>
      <c r="R224" s="1">
        <v>45680</v>
      </c>
      <c r="S224" t="s">
        <v>1772</v>
      </c>
      <c r="T224">
        <f t="shared" si="33"/>
        <v>3</v>
      </c>
      <c r="U224">
        <f t="shared" si="34"/>
        <v>1265.0999999999999</v>
      </c>
      <c r="V224">
        <f t="shared" si="35"/>
        <v>1303.0999999999999</v>
      </c>
      <c r="W224">
        <f t="shared" si="36"/>
        <v>0.1</v>
      </c>
      <c r="X224">
        <f t="shared" si="37"/>
        <v>126.50999999999999</v>
      </c>
      <c r="Y224">
        <f t="shared" si="38"/>
        <v>1176.5899999999999</v>
      </c>
      <c r="Z224" t="str">
        <f t="shared" si="39"/>
        <v>Beth Mason</v>
      </c>
      <c r="AA224" s="1" t="str">
        <f t="shared" si="40"/>
        <v>Before Time</v>
      </c>
      <c r="AB224" t="str">
        <f t="shared" si="41"/>
        <v>Jan</v>
      </c>
      <c r="AC224" s="9">
        <f t="shared" si="42"/>
        <v>2025</v>
      </c>
      <c r="AD224" t="str">
        <f t="shared" si="43"/>
        <v>outlook.com</v>
      </c>
    </row>
    <row r="225" spans="1:30" x14ac:dyDescent="0.3">
      <c r="A225" t="s">
        <v>90</v>
      </c>
      <c r="B225" t="s">
        <v>139</v>
      </c>
      <c r="C225" t="s">
        <v>266</v>
      </c>
      <c r="D225">
        <v>55</v>
      </c>
      <c r="E225" t="s">
        <v>289</v>
      </c>
      <c r="F225" t="s">
        <v>293</v>
      </c>
      <c r="G225" t="s">
        <v>371</v>
      </c>
      <c r="H225" t="s">
        <v>471</v>
      </c>
      <c r="I225" t="s">
        <v>722</v>
      </c>
      <c r="J225" s="1">
        <v>45186</v>
      </c>
      <c r="K225" t="s">
        <v>1222</v>
      </c>
      <c r="L225" t="s">
        <v>1501</v>
      </c>
      <c r="M225">
        <v>330.11</v>
      </c>
      <c r="N225">
        <v>3</v>
      </c>
      <c r="O225" t="s">
        <v>2047</v>
      </c>
      <c r="P225">
        <v>2</v>
      </c>
      <c r="Q225">
        <v>40</v>
      </c>
      <c r="R225" s="1">
        <v>45191</v>
      </c>
      <c r="S225" t="s">
        <v>1773</v>
      </c>
      <c r="T225">
        <f t="shared" si="33"/>
        <v>5</v>
      </c>
      <c r="U225">
        <f t="shared" si="34"/>
        <v>990.33</v>
      </c>
      <c r="V225">
        <f t="shared" si="35"/>
        <v>1030.33</v>
      </c>
      <c r="W225">
        <f t="shared" si="36"/>
        <v>0.08</v>
      </c>
      <c r="X225">
        <f t="shared" si="37"/>
        <v>79.226399999999998</v>
      </c>
      <c r="Y225">
        <f t="shared" si="38"/>
        <v>951.10359999999991</v>
      </c>
      <c r="Z225" t="str">
        <f t="shared" si="39"/>
        <v>Mark Summers</v>
      </c>
      <c r="AA225" s="1" t="str">
        <f t="shared" si="40"/>
        <v>Late</v>
      </c>
      <c r="AB225" t="str">
        <f t="shared" si="41"/>
        <v>Sep</v>
      </c>
      <c r="AC225" s="9">
        <f t="shared" si="42"/>
        <v>2023</v>
      </c>
      <c r="AD225" t="str">
        <f t="shared" si="43"/>
        <v>outlook.com</v>
      </c>
    </row>
    <row r="226" spans="1:30" x14ac:dyDescent="0.3">
      <c r="A226" t="s">
        <v>49</v>
      </c>
      <c r="B226" t="s">
        <v>147</v>
      </c>
      <c r="C226" t="s">
        <v>230</v>
      </c>
      <c r="D226">
        <v>26</v>
      </c>
      <c r="E226" t="s">
        <v>290</v>
      </c>
      <c r="F226" t="s">
        <v>297</v>
      </c>
      <c r="G226" t="s">
        <v>330</v>
      </c>
      <c r="H226" t="s">
        <v>430</v>
      </c>
      <c r="I226" t="s">
        <v>723</v>
      </c>
      <c r="J226" s="1">
        <v>45537</v>
      </c>
      <c r="K226" t="s">
        <v>1223</v>
      </c>
      <c r="L226" t="s">
        <v>1506</v>
      </c>
      <c r="M226">
        <v>372.62</v>
      </c>
      <c r="N226">
        <v>1</v>
      </c>
      <c r="O226" t="s">
        <v>1549</v>
      </c>
      <c r="P226">
        <v>4</v>
      </c>
      <c r="Q226">
        <v>36</v>
      </c>
      <c r="R226" s="1">
        <v>45541</v>
      </c>
      <c r="S226" t="s">
        <v>1774</v>
      </c>
      <c r="T226">
        <f t="shared" si="33"/>
        <v>4</v>
      </c>
      <c r="U226">
        <f t="shared" si="34"/>
        <v>372.62</v>
      </c>
      <c r="V226">
        <f t="shared" si="35"/>
        <v>408.62</v>
      </c>
      <c r="W226">
        <f t="shared" si="36"/>
        <v>0.1</v>
      </c>
      <c r="X226">
        <f t="shared" si="37"/>
        <v>37.262</v>
      </c>
      <c r="Y226">
        <f t="shared" si="38"/>
        <v>371.358</v>
      </c>
      <c r="Z226" t="str">
        <f t="shared" si="39"/>
        <v>Valerie Carr</v>
      </c>
      <c r="AA226" s="1" t="str">
        <f t="shared" si="40"/>
        <v>In Time</v>
      </c>
      <c r="AB226" t="str">
        <f t="shared" si="41"/>
        <v>Sep</v>
      </c>
      <c r="AC226" s="9">
        <f t="shared" si="42"/>
        <v>2024</v>
      </c>
      <c r="AD226" t="str">
        <f t="shared" si="43"/>
        <v>rediffmail.com</v>
      </c>
    </row>
    <row r="227" spans="1:30" x14ac:dyDescent="0.3">
      <c r="A227" t="s">
        <v>103</v>
      </c>
      <c r="B227" t="s">
        <v>191</v>
      </c>
      <c r="C227" t="s">
        <v>277</v>
      </c>
      <c r="D227">
        <v>18</v>
      </c>
      <c r="E227" t="s">
        <v>288</v>
      </c>
      <c r="F227" t="s">
        <v>295</v>
      </c>
      <c r="G227" t="s">
        <v>384</v>
      </c>
      <c r="H227" t="s">
        <v>484</v>
      </c>
      <c r="I227" t="s">
        <v>710</v>
      </c>
      <c r="J227" s="1">
        <v>45217</v>
      </c>
      <c r="K227" t="s">
        <v>1210</v>
      </c>
      <c r="L227" t="s">
        <v>1525</v>
      </c>
      <c r="M227">
        <v>481.48</v>
      </c>
      <c r="N227">
        <v>3</v>
      </c>
      <c r="O227" t="s">
        <v>1549</v>
      </c>
      <c r="P227">
        <v>2</v>
      </c>
      <c r="Q227">
        <v>42</v>
      </c>
      <c r="R227" s="1">
        <v>45221</v>
      </c>
      <c r="S227" t="s">
        <v>1761</v>
      </c>
      <c r="T227">
        <f t="shared" si="33"/>
        <v>4</v>
      </c>
      <c r="U227">
        <f t="shared" si="34"/>
        <v>1444.44</v>
      </c>
      <c r="V227">
        <f t="shared" si="35"/>
        <v>1486.44</v>
      </c>
      <c r="W227">
        <f t="shared" si="36"/>
        <v>0.1</v>
      </c>
      <c r="X227">
        <f t="shared" si="37"/>
        <v>144.44400000000002</v>
      </c>
      <c r="Y227">
        <f t="shared" si="38"/>
        <v>1341.9960000000001</v>
      </c>
      <c r="Z227" t="str">
        <f t="shared" si="39"/>
        <v>Gary Huff</v>
      </c>
      <c r="AA227" s="1" t="str">
        <f t="shared" si="40"/>
        <v>Late</v>
      </c>
      <c r="AB227" t="str">
        <f t="shared" si="41"/>
        <v>Oct</v>
      </c>
      <c r="AC227" s="9">
        <f t="shared" si="42"/>
        <v>2023</v>
      </c>
      <c r="AD227" t="str">
        <f t="shared" si="43"/>
        <v>gmail.com</v>
      </c>
    </row>
    <row r="228" spans="1:30" x14ac:dyDescent="0.3">
      <c r="A228" t="s">
        <v>35</v>
      </c>
      <c r="B228" t="s">
        <v>135</v>
      </c>
      <c r="C228" t="s">
        <v>162</v>
      </c>
      <c r="D228">
        <v>42</v>
      </c>
      <c r="E228" t="s">
        <v>289</v>
      </c>
      <c r="F228" t="s">
        <v>297</v>
      </c>
      <c r="G228" t="s">
        <v>316</v>
      </c>
      <c r="H228" t="s">
        <v>416</v>
      </c>
      <c r="I228" t="s">
        <v>725</v>
      </c>
      <c r="J228" s="1">
        <v>45555</v>
      </c>
      <c r="K228" t="s">
        <v>1225</v>
      </c>
      <c r="L228" t="s">
        <v>1497</v>
      </c>
      <c r="M228">
        <v>308.88</v>
      </c>
      <c r="N228">
        <v>1</v>
      </c>
      <c r="O228" t="s">
        <v>1548</v>
      </c>
      <c r="P228">
        <v>3</v>
      </c>
      <c r="Q228">
        <v>54</v>
      </c>
      <c r="R228" s="1">
        <v>45556</v>
      </c>
      <c r="S228" t="s">
        <v>1776</v>
      </c>
      <c r="T228">
        <f t="shared" si="33"/>
        <v>1</v>
      </c>
      <c r="U228">
        <f t="shared" si="34"/>
        <v>308.88</v>
      </c>
      <c r="V228">
        <f t="shared" si="35"/>
        <v>362.88</v>
      </c>
      <c r="W228">
        <f t="shared" si="36"/>
        <v>0.15</v>
      </c>
      <c r="X228">
        <f t="shared" si="37"/>
        <v>46.332000000000001</v>
      </c>
      <c r="Y228">
        <f t="shared" si="38"/>
        <v>316.548</v>
      </c>
      <c r="Z228" t="str">
        <f t="shared" si="39"/>
        <v>Mallory Mitchell</v>
      </c>
      <c r="AA228" s="1" t="str">
        <f t="shared" si="40"/>
        <v>Before Time</v>
      </c>
      <c r="AB228" t="str">
        <f t="shared" si="41"/>
        <v>Sep</v>
      </c>
      <c r="AC228" s="9">
        <f t="shared" si="42"/>
        <v>2024</v>
      </c>
      <c r="AD228" t="str">
        <f t="shared" si="43"/>
        <v>yahoo.com</v>
      </c>
    </row>
    <row r="229" spans="1:30" x14ac:dyDescent="0.3">
      <c r="A229" t="s">
        <v>18</v>
      </c>
      <c r="B229" t="s">
        <v>118</v>
      </c>
      <c r="C229" t="s">
        <v>201</v>
      </c>
      <c r="D229">
        <v>37</v>
      </c>
      <c r="E229" t="s">
        <v>288</v>
      </c>
      <c r="F229" t="s">
        <v>291</v>
      </c>
      <c r="G229" t="s">
        <v>299</v>
      </c>
      <c r="H229" t="s">
        <v>399</v>
      </c>
      <c r="I229" t="s">
        <v>726</v>
      </c>
      <c r="J229" s="1">
        <v>45162</v>
      </c>
      <c r="K229" t="s">
        <v>1226</v>
      </c>
      <c r="L229" t="s">
        <v>1515</v>
      </c>
      <c r="M229">
        <v>132.97</v>
      </c>
      <c r="N229">
        <v>4</v>
      </c>
      <c r="O229" t="s">
        <v>1549</v>
      </c>
      <c r="P229">
        <v>3</v>
      </c>
      <c r="Q229">
        <v>43</v>
      </c>
      <c r="R229" s="1">
        <v>45163</v>
      </c>
      <c r="S229" t="s">
        <v>1777</v>
      </c>
      <c r="T229">
        <f t="shared" si="33"/>
        <v>1</v>
      </c>
      <c r="U229">
        <f t="shared" si="34"/>
        <v>531.88</v>
      </c>
      <c r="V229">
        <f t="shared" si="35"/>
        <v>574.88</v>
      </c>
      <c r="W229">
        <f t="shared" si="36"/>
        <v>0.1</v>
      </c>
      <c r="X229">
        <f t="shared" si="37"/>
        <v>53.188000000000002</v>
      </c>
      <c r="Y229">
        <f t="shared" si="38"/>
        <v>521.69200000000001</v>
      </c>
      <c r="Z229" t="str">
        <f t="shared" si="39"/>
        <v>Anne Oconnell</v>
      </c>
      <c r="AA229" s="1" t="str">
        <f t="shared" si="40"/>
        <v>Before Time</v>
      </c>
      <c r="AB229" t="str">
        <f t="shared" si="41"/>
        <v>Aug</v>
      </c>
      <c r="AC229" s="9">
        <f t="shared" si="42"/>
        <v>2023</v>
      </c>
      <c r="AD229" t="str">
        <f t="shared" si="43"/>
        <v>outlook.com</v>
      </c>
    </row>
    <row r="230" spans="1:30" x14ac:dyDescent="0.3">
      <c r="A230" t="s">
        <v>40</v>
      </c>
      <c r="B230" t="s">
        <v>121</v>
      </c>
      <c r="C230" t="s">
        <v>221</v>
      </c>
      <c r="D230">
        <v>64</v>
      </c>
      <c r="E230" t="s">
        <v>289</v>
      </c>
      <c r="F230" t="s">
        <v>292</v>
      </c>
      <c r="G230" t="s">
        <v>321</v>
      </c>
      <c r="H230" t="s">
        <v>421</v>
      </c>
      <c r="I230" t="s">
        <v>727</v>
      </c>
      <c r="J230" s="1">
        <v>45488</v>
      </c>
      <c r="K230" t="s">
        <v>1227</v>
      </c>
      <c r="L230" t="s">
        <v>1506</v>
      </c>
      <c r="M230">
        <v>372.62</v>
      </c>
      <c r="N230">
        <v>4</v>
      </c>
      <c r="O230" t="s">
        <v>2047</v>
      </c>
      <c r="P230">
        <v>1</v>
      </c>
      <c r="Q230">
        <v>45</v>
      </c>
      <c r="R230" s="1">
        <v>45492</v>
      </c>
      <c r="S230" t="s">
        <v>1778</v>
      </c>
      <c r="T230">
        <f t="shared" si="33"/>
        <v>4</v>
      </c>
      <c r="U230">
        <f t="shared" si="34"/>
        <v>1490.48</v>
      </c>
      <c r="V230">
        <f t="shared" si="35"/>
        <v>1535.48</v>
      </c>
      <c r="W230">
        <f t="shared" si="36"/>
        <v>0.08</v>
      </c>
      <c r="X230">
        <f t="shared" si="37"/>
        <v>119.2384</v>
      </c>
      <c r="Y230">
        <f t="shared" si="38"/>
        <v>1416.2416000000001</v>
      </c>
      <c r="Z230" t="str">
        <f t="shared" si="39"/>
        <v>John Herrera</v>
      </c>
      <c r="AA230" s="1" t="str">
        <f t="shared" si="40"/>
        <v>Late</v>
      </c>
      <c r="AB230" t="str">
        <f t="shared" si="41"/>
        <v>Jul</v>
      </c>
      <c r="AC230" s="9">
        <f t="shared" si="42"/>
        <v>2024</v>
      </c>
      <c r="AD230" t="str">
        <f t="shared" si="43"/>
        <v>outlook.com</v>
      </c>
    </row>
    <row r="231" spans="1:30" x14ac:dyDescent="0.3">
      <c r="A231" t="s">
        <v>65</v>
      </c>
      <c r="B231" t="s">
        <v>160</v>
      </c>
      <c r="C231" t="s">
        <v>246</v>
      </c>
      <c r="D231">
        <v>18</v>
      </c>
      <c r="E231" t="s">
        <v>289</v>
      </c>
      <c r="F231" t="s">
        <v>292</v>
      </c>
      <c r="G231" t="s">
        <v>346</v>
      </c>
      <c r="H231" t="s">
        <v>446</v>
      </c>
      <c r="I231" t="s">
        <v>728</v>
      </c>
      <c r="J231" s="1">
        <v>45273</v>
      </c>
      <c r="K231" t="s">
        <v>1228</v>
      </c>
      <c r="L231" t="s">
        <v>1516</v>
      </c>
      <c r="M231">
        <v>126.19</v>
      </c>
      <c r="N231">
        <v>5</v>
      </c>
      <c r="O231" t="s">
        <v>1549</v>
      </c>
      <c r="P231">
        <v>4</v>
      </c>
      <c r="Q231">
        <v>47</v>
      </c>
      <c r="R231" s="1">
        <v>45280</v>
      </c>
      <c r="S231" t="s">
        <v>1779</v>
      </c>
      <c r="T231">
        <f t="shared" si="33"/>
        <v>7</v>
      </c>
      <c r="U231">
        <f t="shared" si="34"/>
        <v>630.95000000000005</v>
      </c>
      <c r="V231">
        <f t="shared" si="35"/>
        <v>677.95</v>
      </c>
      <c r="W231">
        <f t="shared" si="36"/>
        <v>0.1</v>
      </c>
      <c r="X231">
        <f t="shared" si="37"/>
        <v>63.095000000000006</v>
      </c>
      <c r="Y231">
        <f t="shared" si="38"/>
        <v>614.85500000000002</v>
      </c>
      <c r="Z231" t="str">
        <f t="shared" si="39"/>
        <v>Lori Cook</v>
      </c>
      <c r="AA231" s="1" t="str">
        <f t="shared" si="40"/>
        <v>Late</v>
      </c>
      <c r="AB231" t="str">
        <f t="shared" si="41"/>
        <v>Dec</v>
      </c>
      <c r="AC231" s="9">
        <f t="shared" si="42"/>
        <v>2023</v>
      </c>
      <c r="AD231" t="str">
        <f t="shared" si="43"/>
        <v>rediffmail.com</v>
      </c>
    </row>
    <row r="232" spans="1:30" x14ac:dyDescent="0.3">
      <c r="A232" t="s">
        <v>103</v>
      </c>
      <c r="B232" t="s">
        <v>191</v>
      </c>
      <c r="C232" t="s">
        <v>277</v>
      </c>
      <c r="D232">
        <v>18</v>
      </c>
      <c r="E232" t="s">
        <v>288</v>
      </c>
      <c r="F232" t="s">
        <v>295</v>
      </c>
      <c r="G232" t="s">
        <v>384</v>
      </c>
      <c r="H232" t="s">
        <v>484</v>
      </c>
      <c r="I232" t="s">
        <v>724</v>
      </c>
      <c r="J232" s="1">
        <v>45117</v>
      </c>
      <c r="K232" t="s">
        <v>1224</v>
      </c>
      <c r="L232" t="s">
        <v>1536</v>
      </c>
      <c r="M232">
        <v>403.03</v>
      </c>
      <c r="N232">
        <v>2</v>
      </c>
      <c r="O232" t="s">
        <v>1548</v>
      </c>
      <c r="P232">
        <v>7</v>
      </c>
      <c r="Q232">
        <v>45</v>
      </c>
      <c r="R232" s="1">
        <v>45118</v>
      </c>
      <c r="S232" t="s">
        <v>1775</v>
      </c>
      <c r="T232">
        <f t="shared" si="33"/>
        <v>1</v>
      </c>
      <c r="U232">
        <f t="shared" si="34"/>
        <v>806.06</v>
      </c>
      <c r="V232">
        <f t="shared" si="35"/>
        <v>851.06</v>
      </c>
      <c r="W232">
        <f t="shared" si="36"/>
        <v>0.15</v>
      </c>
      <c r="X232">
        <f t="shared" si="37"/>
        <v>120.90899999999999</v>
      </c>
      <c r="Y232">
        <f t="shared" si="38"/>
        <v>730.15099999999995</v>
      </c>
      <c r="Z232" t="str">
        <f t="shared" si="39"/>
        <v>Gary Huff</v>
      </c>
      <c r="AA232" s="1" t="str">
        <f t="shared" si="40"/>
        <v>Before Time</v>
      </c>
      <c r="AB232" t="str">
        <f t="shared" si="41"/>
        <v>Jul</v>
      </c>
      <c r="AC232" s="9">
        <f t="shared" si="42"/>
        <v>2023</v>
      </c>
      <c r="AD232" t="str">
        <f t="shared" si="43"/>
        <v>gmail.com</v>
      </c>
    </row>
    <row r="233" spans="1:30" x14ac:dyDescent="0.3">
      <c r="A233" t="s">
        <v>103</v>
      </c>
      <c r="B233" t="s">
        <v>191</v>
      </c>
      <c r="C233" t="s">
        <v>277</v>
      </c>
      <c r="D233">
        <v>18</v>
      </c>
      <c r="E233" t="s">
        <v>288</v>
      </c>
      <c r="F233" t="s">
        <v>295</v>
      </c>
      <c r="G233" t="s">
        <v>384</v>
      </c>
      <c r="H233" t="s">
        <v>484</v>
      </c>
      <c r="I233" t="s">
        <v>729</v>
      </c>
      <c r="J233" s="1">
        <v>45392</v>
      </c>
      <c r="K233" t="s">
        <v>1229</v>
      </c>
      <c r="L233" t="s">
        <v>1524</v>
      </c>
      <c r="M233">
        <v>157.63999999999999</v>
      </c>
      <c r="N233">
        <v>2</v>
      </c>
      <c r="O233" t="s">
        <v>1548</v>
      </c>
      <c r="P233">
        <v>5</v>
      </c>
      <c r="Q233">
        <v>64</v>
      </c>
      <c r="R233" s="1">
        <v>45395</v>
      </c>
      <c r="S233" t="s">
        <v>1780</v>
      </c>
      <c r="T233">
        <f t="shared" si="33"/>
        <v>3</v>
      </c>
      <c r="U233">
        <f t="shared" si="34"/>
        <v>315.27999999999997</v>
      </c>
      <c r="V233">
        <f t="shared" si="35"/>
        <v>379.28</v>
      </c>
      <c r="W233">
        <f t="shared" si="36"/>
        <v>0.15</v>
      </c>
      <c r="X233">
        <f t="shared" si="37"/>
        <v>47.291999999999994</v>
      </c>
      <c r="Y233">
        <f t="shared" si="38"/>
        <v>331.988</v>
      </c>
      <c r="Z233" t="str">
        <f t="shared" si="39"/>
        <v>Gary Huff</v>
      </c>
      <c r="AA233" s="1" t="str">
        <f t="shared" si="40"/>
        <v>Before Time</v>
      </c>
      <c r="AB233" t="str">
        <f t="shared" si="41"/>
        <v>Apr</v>
      </c>
      <c r="AC233" s="9">
        <f t="shared" si="42"/>
        <v>2024</v>
      </c>
      <c r="AD233" t="str">
        <f t="shared" si="43"/>
        <v>gmail.com</v>
      </c>
    </row>
    <row r="234" spans="1:30" x14ac:dyDescent="0.3">
      <c r="A234" t="s">
        <v>105</v>
      </c>
      <c r="B234" t="s">
        <v>192</v>
      </c>
      <c r="C234" t="s">
        <v>279</v>
      </c>
      <c r="D234">
        <v>59</v>
      </c>
      <c r="E234" t="s">
        <v>290</v>
      </c>
      <c r="F234" t="s">
        <v>297</v>
      </c>
      <c r="G234" t="s">
        <v>386</v>
      </c>
      <c r="H234" t="s">
        <v>486</v>
      </c>
      <c r="I234" t="s">
        <v>731</v>
      </c>
      <c r="J234" s="1">
        <v>45251</v>
      </c>
      <c r="K234" t="s">
        <v>1231</v>
      </c>
      <c r="L234" t="s">
        <v>1529</v>
      </c>
      <c r="M234">
        <v>128.13999999999999</v>
      </c>
      <c r="N234">
        <v>1</v>
      </c>
      <c r="O234" t="s">
        <v>1549</v>
      </c>
      <c r="P234">
        <v>7</v>
      </c>
      <c r="Q234">
        <v>52</v>
      </c>
      <c r="R234" s="1">
        <v>45254</v>
      </c>
      <c r="S234" t="s">
        <v>1782</v>
      </c>
      <c r="T234">
        <f t="shared" si="33"/>
        <v>3</v>
      </c>
      <c r="U234">
        <f t="shared" si="34"/>
        <v>128.13999999999999</v>
      </c>
      <c r="V234">
        <f t="shared" si="35"/>
        <v>180.14</v>
      </c>
      <c r="W234">
        <f t="shared" si="36"/>
        <v>0.1</v>
      </c>
      <c r="X234">
        <f t="shared" si="37"/>
        <v>12.814</v>
      </c>
      <c r="Y234">
        <f t="shared" si="38"/>
        <v>167.32599999999999</v>
      </c>
      <c r="Z234" t="str">
        <f t="shared" si="39"/>
        <v>Mike Carter</v>
      </c>
      <c r="AA234" s="1" t="str">
        <f t="shared" si="40"/>
        <v>Before Time</v>
      </c>
      <c r="AB234" t="str">
        <f t="shared" si="41"/>
        <v>Nov</v>
      </c>
      <c r="AC234" s="9">
        <f t="shared" si="42"/>
        <v>2023</v>
      </c>
      <c r="AD234" t="str">
        <f t="shared" si="43"/>
        <v>rediffmail.com</v>
      </c>
    </row>
    <row r="235" spans="1:30" x14ac:dyDescent="0.3">
      <c r="A235" t="s">
        <v>46</v>
      </c>
      <c r="B235" t="s">
        <v>144</v>
      </c>
      <c r="C235" t="s">
        <v>227</v>
      </c>
      <c r="D235">
        <v>44</v>
      </c>
      <c r="E235" t="s">
        <v>288</v>
      </c>
      <c r="F235" t="s">
        <v>298</v>
      </c>
      <c r="G235" t="s">
        <v>327</v>
      </c>
      <c r="H235" t="s">
        <v>427</v>
      </c>
      <c r="I235" t="s">
        <v>732</v>
      </c>
      <c r="J235" s="1">
        <v>45348</v>
      </c>
      <c r="K235" t="s">
        <v>1232</v>
      </c>
      <c r="L235" t="s">
        <v>1507</v>
      </c>
      <c r="M235">
        <v>257.06</v>
      </c>
      <c r="N235">
        <v>3</v>
      </c>
      <c r="O235" t="s">
        <v>1547</v>
      </c>
      <c r="P235">
        <v>5</v>
      </c>
      <c r="Q235">
        <v>63</v>
      </c>
      <c r="R235" s="1">
        <v>45354</v>
      </c>
      <c r="S235" t="s">
        <v>1783</v>
      </c>
      <c r="T235">
        <f t="shared" si="33"/>
        <v>6</v>
      </c>
      <c r="U235">
        <f t="shared" si="34"/>
        <v>771.18000000000006</v>
      </c>
      <c r="V235">
        <f t="shared" si="35"/>
        <v>771.18000000000006</v>
      </c>
      <c r="W235">
        <f t="shared" si="36"/>
        <v>0</v>
      </c>
      <c r="X235">
        <f t="shared" si="37"/>
        <v>0</v>
      </c>
      <c r="Y235">
        <f t="shared" si="38"/>
        <v>771.18000000000006</v>
      </c>
      <c r="Z235" t="str">
        <f t="shared" si="39"/>
        <v>Lauren Long</v>
      </c>
      <c r="AA235" s="1" t="str">
        <f t="shared" si="40"/>
        <v>Late</v>
      </c>
      <c r="AB235" t="str">
        <f t="shared" si="41"/>
        <v>Feb</v>
      </c>
      <c r="AC235" s="9">
        <f t="shared" si="42"/>
        <v>2024</v>
      </c>
      <c r="AD235" t="str">
        <f t="shared" si="43"/>
        <v>gmail.com</v>
      </c>
    </row>
    <row r="236" spans="1:30" x14ac:dyDescent="0.3">
      <c r="A236" t="s">
        <v>74</v>
      </c>
      <c r="B236" t="s">
        <v>167</v>
      </c>
      <c r="C236" t="s">
        <v>252</v>
      </c>
      <c r="D236">
        <v>33</v>
      </c>
      <c r="E236" t="s">
        <v>290</v>
      </c>
      <c r="F236" t="s">
        <v>297</v>
      </c>
      <c r="G236" t="s">
        <v>355</v>
      </c>
      <c r="H236" t="s">
        <v>455</v>
      </c>
      <c r="I236" t="s">
        <v>733</v>
      </c>
      <c r="J236" s="1">
        <v>45257</v>
      </c>
      <c r="K236" t="s">
        <v>1233</v>
      </c>
      <c r="L236" t="s">
        <v>1511</v>
      </c>
      <c r="M236">
        <v>272.51</v>
      </c>
      <c r="N236">
        <v>2</v>
      </c>
      <c r="O236" t="s">
        <v>1549</v>
      </c>
      <c r="P236">
        <v>4</v>
      </c>
      <c r="Q236">
        <v>48</v>
      </c>
      <c r="R236" s="1">
        <v>45264</v>
      </c>
      <c r="S236" t="s">
        <v>1784</v>
      </c>
      <c r="T236">
        <f t="shared" si="33"/>
        <v>7</v>
      </c>
      <c r="U236">
        <f t="shared" si="34"/>
        <v>545.02</v>
      </c>
      <c r="V236">
        <f t="shared" si="35"/>
        <v>593.02</v>
      </c>
      <c r="W236">
        <f t="shared" si="36"/>
        <v>0.1</v>
      </c>
      <c r="X236">
        <f t="shared" si="37"/>
        <v>54.502000000000002</v>
      </c>
      <c r="Y236">
        <f t="shared" si="38"/>
        <v>538.51800000000003</v>
      </c>
      <c r="Z236" t="str">
        <f t="shared" si="39"/>
        <v>Jodi Whitney</v>
      </c>
      <c r="AA236" s="1" t="str">
        <f t="shared" si="40"/>
        <v>Late</v>
      </c>
      <c r="AB236" t="str">
        <f t="shared" si="41"/>
        <v>Nov</v>
      </c>
      <c r="AC236" s="9">
        <f t="shared" si="42"/>
        <v>2023</v>
      </c>
      <c r="AD236" t="str">
        <f t="shared" si="43"/>
        <v>yahoo.com</v>
      </c>
    </row>
    <row r="237" spans="1:30" x14ac:dyDescent="0.3">
      <c r="A237" t="s">
        <v>46</v>
      </c>
      <c r="B237" t="s">
        <v>144</v>
      </c>
      <c r="C237" t="s">
        <v>227</v>
      </c>
      <c r="D237">
        <v>44</v>
      </c>
      <c r="E237" t="s">
        <v>288</v>
      </c>
      <c r="F237" t="s">
        <v>298</v>
      </c>
      <c r="G237" t="s">
        <v>327</v>
      </c>
      <c r="H237" t="s">
        <v>427</v>
      </c>
      <c r="I237" t="s">
        <v>734</v>
      </c>
      <c r="J237" s="1">
        <v>45390</v>
      </c>
      <c r="K237" t="s">
        <v>1234</v>
      </c>
      <c r="L237" t="s">
        <v>1503</v>
      </c>
      <c r="M237">
        <v>363.64</v>
      </c>
      <c r="N237">
        <v>3</v>
      </c>
      <c r="O237" t="s">
        <v>1548</v>
      </c>
      <c r="P237">
        <v>1</v>
      </c>
      <c r="Q237">
        <v>47</v>
      </c>
      <c r="R237" s="1">
        <v>45395</v>
      </c>
      <c r="S237" t="s">
        <v>1785</v>
      </c>
      <c r="T237">
        <f t="shared" si="33"/>
        <v>5</v>
      </c>
      <c r="U237">
        <f t="shared" si="34"/>
        <v>1090.92</v>
      </c>
      <c r="V237">
        <f t="shared" si="35"/>
        <v>1137.92</v>
      </c>
      <c r="W237">
        <f t="shared" si="36"/>
        <v>0.15</v>
      </c>
      <c r="X237">
        <f t="shared" si="37"/>
        <v>163.63800000000001</v>
      </c>
      <c r="Y237">
        <f t="shared" si="38"/>
        <v>974.28200000000004</v>
      </c>
      <c r="Z237" t="str">
        <f t="shared" si="39"/>
        <v>Lauren Long</v>
      </c>
      <c r="AA237" s="1" t="str">
        <f t="shared" si="40"/>
        <v>Late</v>
      </c>
      <c r="AB237" t="str">
        <f t="shared" si="41"/>
        <v>Apr</v>
      </c>
      <c r="AC237" s="9">
        <f t="shared" si="42"/>
        <v>2024</v>
      </c>
      <c r="AD237" t="str">
        <f t="shared" si="43"/>
        <v>gmail.com</v>
      </c>
    </row>
    <row r="238" spans="1:30" x14ac:dyDescent="0.3">
      <c r="A238" t="s">
        <v>77</v>
      </c>
      <c r="B238" t="s">
        <v>169</v>
      </c>
      <c r="C238" t="s">
        <v>255</v>
      </c>
      <c r="D238">
        <v>21</v>
      </c>
      <c r="E238" t="s">
        <v>288</v>
      </c>
      <c r="F238" t="s">
        <v>292</v>
      </c>
      <c r="G238" t="s">
        <v>358</v>
      </c>
      <c r="H238" t="s">
        <v>458</v>
      </c>
      <c r="I238" t="s">
        <v>735</v>
      </c>
      <c r="J238" s="1">
        <v>45578</v>
      </c>
      <c r="K238" t="s">
        <v>1235</v>
      </c>
      <c r="L238" t="s">
        <v>1503</v>
      </c>
      <c r="M238">
        <v>363.64</v>
      </c>
      <c r="N238">
        <v>3</v>
      </c>
      <c r="O238" t="s">
        <v>1550</v>
      </c>
      <c r="P238">
        <v>6</v>
      </c>
      <c r="Q238">
        <v>64</v>
      </c>
      <c r="R238" s="1">
        <v>45585</v>
      </c>
      <c r="S238" t="s">
        <v>1786</v>
      </c>
      <c r="T238">
        <f t="shared" si="33"/>
        <v>7</v>
      </c>
      <c r="U238">
        <f t="shared" si="34"/>
        <v>1090.92</v>
      </c>
      <c r="V238">
        <f t="shared" si="35"/>
        <v>1154.92</v>
      </c>
      <c r="W238">
        <f t="shared" si="36"/>
        <v>0.2</v>
      </c>
      <c r="X238">
        <f t="shared" si="37"/>
        <v>218.18400000000003</v>
      </c>
      <c r="Y238">
        <f t="shared" si="38"/>
        <v>936.7360000000001</v>
      </c>
      <c r="Z238" t="str">
        <f t="shared" si="39"/>
        <v>William Mann</v>
      </c>
      <c r="AA238" s="1" t="str">
        <f t="shared" si="40"/>
        <v>Late</v>
      </c>
      <c r="AB238" t="str">
        <f t="shared" si="41"/>
        <v>Oct</v>
      </c>
      <c r="AC238" s="9">
        <f t="shared" si="42"/>
        <v>2024</v>
      </c>
      <c r="AD238" t="str">
        <f t="shared" si="43"/>
        <v>yahoo.com</v>
      </c>
    </row>
    <row r="239" spans="1:30" x14ac:dyDescent="0.3">
      <c r="A239" t="s">
        <v>80</v>
      </c>
      <c r="B239" t="s">
        <v>131</v>
      </c>
      <c r="C239" t="s">
        <v>257</v>
      </c>
      <c r="D239">
        <v>44</v>
      </c>
      <c r="E239" t="s">
        <v>290</v>
      </c>
      <c r="F239" t="s">
        <v>296</v>
      </c>
      <c r="G239" t="s">
        <v>361</v>
      </c>
      <c r="H239" t="s">
        <v>461</v>
      </c>
      <c r="I239" t="s">
        <v>736</v>
      </c>
      <c r="J239" s="1">
        <v>45109</v>
      </c>
      <c r="K239" t="s">
        <v>1236</v>
      </c>
      <c r="L239" t="s">
        <v>1539</v>
      </c>
      <c r="M239">
        <v>235.63</v>
      </c>
      <c r="N239">
        <v>5</v>
      </c>
      <c r="O239" t="s">
        <v>1550</v>
      </c>
      <c r="P239">
        <v>6</v>
      </c>
      <c r="Q239">
        <v>63</v>
      </c>
      <c r="R239" s="1">
        <v>45114</v>
      </c>
      <c r="S239" t="s">
        <v>1787</v>
      </c>
      <c r="T239">
        <f t="shared" si="33"/>
        <v>5</v>
      </c>
      <c r="U239">
        <f t="shared" si="34"/>
        <v>1178.1500000000001</v>
      </c>
      <c r="V239">
        <f t="shared" si="35"/>
        <v>1241.1500000000001</v>
      </c>
      <c r="W239">
        <f t="shared" si="36"/>
        <v>0.2</v>
      </c>
      <c r="X239">
        <f t="shared" si="37"/>
        <v>235.63000000000002</v>
      </c>
      <c r="Y239">
        <f t="shared" si="38"/>
        <v>1005.5200000000001</v>
      </c>
      <c r="Z239" t="str">
        <f t="shared" si="39"/>
        <v>Amy Ellis</v>
      </c>
      <c r="AA239" s="1" t="str">
        <f t="shared" si="40"/>
        <v>Before Time</v>
      </c>
      <c r="AB239" t="str">
        <f t="shared" si="41"/>
        <v>Jul</v>
      </c>
      <c r="AC239" s="9">
        <f t="shared" si="42"/>
        <v>2023</v>
      </c>
      <c r="AD239" t="str">
        <f t="shared" si="43"/>
        <v>gmail.com</v>
      </c>
    </row>
    <row r="240" spans="1:30" x14ac:dyDescent="0.3">
      <c r="A240" t="s">
        <v>106</v>
      </c>
      <c r="B240" t="s">
        <v>154</v>
      </c>
      <c r="C240" t="s">
        <v>280</v>
      </c>
      <c r="D240">
        <v>34</v>
      </c>
      <c r="E240" t="s">
        <v>290</v>
      </c>
      <c r="F240" t="s">
        <v>298</v>
      </c>
      <c r="G240" t="s">
        <v>387</v>
      </c>
      <c r="H240" t="s">
        <v>487</v>
      </c>
      <c r="I240" t="s">
        <v>737</v>
      </c>
      <c r="J240" s="1">
        <v>45595</v>
      </c>
      <c r="K240" t="s">
        <v>1237</v>
      </c>
      <c r="L240" t="s">
        <v>1541</v>
      </c>
      <c r="M240">
        <v>133.62</v>
      </c>
      <c r="N240">
        <v>1</v>
      </c>
      <c r="O240" t="s">
        <v>2047</v>
      </c>
      <c r="P240">
        <v>1</v>
      </c>
      <c r="Q240">
        <v>57</v>
      </c>
      <c r="R240" s="1">
        <v>45602</v>
      </c>
      <c r="S240" t="s">
        <v>1788</v>
      </c>
      <c r="T240">
        <f t="shared" si="33"/>
        <v>7</v>
      </c>
      <c r="U240">
        <f t="shared" si="34"/>
        <v>133.62</v>
      </c>
      <c r="V240">
        <f t="shared" si="35"/>
        <v>190.62</v>
      </c>
      <c r="W240">
        <f t="shared" si="36"/>
        <v>0.08</v>
      </c>
      <c r="X240">
        <f t="shared" si="37"/>
        <v>10.6896</v>
      </c>
      <c r="Y240">
        <f t="shared" si="38"/>
        <v>179.93039999999999</v>
      </c>
      <c r="Z240" t="str">
        <f t="shared" si="39"/>
        <v>Thomas Owens</v>
      </c>
      <c r="AA240" s="1" t="str">
        <f t="shared" si="40"/>
        <v>Late</v>
      </c>
      <c r="AB240" t="str">
        <f t="shared" si="41"/>
        <v>Oct</v>
      </c>
      <c r="AC240" s="9">
        <f t="shared" si="42"/>
        <v>2024</v>
      </c>
      <c r="AD240" t="str">
        <f t="shared" si="43"/>
        <v>outlook.com</v>
      </c>
    </row>
    <row r="241" spans="1:30" x14ac:dyDescent="0.3">
      <c r="A241" t="s">
        <v>48</v>
      </c>
      <c r="B241" t="s">
        <v>146</v>
      </c>
      <c r="C241" t="s">
        <v>229</v>
      </c>
      <c r="D241">
        <v>48</v>
      </c>
      <c r="E241" t="s">
        <v>289</v>
      </c>
      <c r="F241" t="s">
        <v>296</v>
      </c>
      <c r="G241" t="s">
        <v>329</v>
      </c>
      <c r="H241" t="s">
        <v>429</v>
      </c>
      <c r="I241" t="s">
        <v>738</v>
      </c>
      <c r="J241" s="1">
        <v>45616</v>
      </c>
      <c r="K241" t="s">
        <v>1238</v>
      </c>
      <c r="L241" t="s">
        <v>1517</v>
      </c>
      <c r="M241">
        <v>282.63</v>
      </c>
      <c r="N241">
        <v>4</v>
      </c>
      <c r="O241" t="s">
        <v>1549</v>
      </c>
      <c r="P241">
        <v>1</v>
      </c>
      <c r="Q241">
        <v>60</v>
      </c>
      <c r="R241" s="1">
        <v>45618</v>
      </c>
      <c r="S241" t="s">
        <v>1789</v>
      </c>
      <c r="T241">
        <f t="shared" si="33"/>
        <v>2</v>
      </c>
      <c r="U241">
        <f t="shared" si="34"/>
        <v>1130.52</v>
      </c>
      <c r="V241">
        <f t="shared" si="35"/>
        <v>1190.52</v>
      </c>
      <c r="W241">
        <f t="shared" si="36"/>
        <v>0.1</v>
      </c>
      <c r="X241">
        <f t="shared" si="37"/>
        <v>113.05200000000001</v>
      </c>
      <c r="Y241">
        <f t="shared" si="38"/>
        <v>1077.4680000000001</v>
      </c>
      <c r="Z241" t="str">
        <f t="shared" si="39"/>
        <v>Heather Schneider</v>
      </c>
      <c r="AA241" s="1" t="str">
        <f t="shared" si="40"/>
        <v>Late</v>
      </c>
      <c r="AB241" t="str">
        <f t="shared" si="41"/>
        <v>Nov</v>
      </c>
      <c r="AC241" s="9">
        <f t="shared" si="42"/>
        <v>2024</v>
      </c>
      <c r="AD241" t="str">
        <f t="shared" si="43"/>
        <v>outlook.com</v>
      </c>
    </row>
    <row r="242" spans="1:30" x14ac:dyDescent="0.3">
      <c r="A242" t="s">
        <v>50</v>
      </c>
      <c r="B242" t="s">
        <v>148</v>
      </c>
      <c r="C242" t="s">
        <v>231</v>
      </c>
      <c r="D242">
        <v>45</v>
      </c>
      <c r="E242" t="s">
        <v>288</v>
      </c>
      <c r="F242" t="s">
        <v>292</v>
      </c>
      <c r="G242" t="s">
        <v>331</v>
      </c>
      <c r="H242" t="s">
        <v>431</v>
      </c>
      <c r="I242" t="s">
        <v>739</v>
      </c>
      <c r="J242" s="1">
        <v>45271</v>
      </c>
      <c r="K242" t="s">
        <v>1239</v>
      </c>
      <c r="L242" t="s">
        <v>1498</v>
      </c>
      <c r="M242">
        <v>166.28</v>
      </c>
      <c r="N242">
        <v>3</v>
      </c>
      <c r="O242" t="s">
        <v>1549</v>
      </c>
      <c r="P242">
        <v>6</v>
      </c>
      <c r="Q242">
        <v>59</v>
      </c>
      <c r="R242" s="1">
        <v>45275</v>
      </c>
      <c r="S242" t="s">
        <v>1790</v>
      </c>
      <c r="T242">
        <f t="shared" si="33"/>
        <v>4</v>
      </c>
      <c r="U242">
        <f t="shared" si="34"/>
        <v>498.84000000000003</v>
      </c>
      <c r="V242">
        <f t="shared" si="35"/>
        <v>557.84</v>
      </c>
      <c r="W242">
        <f t="shared" si="36"/>
        <v>0.1</v>
      </c>
      <c r="X242">
        <f t="shared" si="37"/>
        <v>49.884000000000007</v>
      </c>
      <c r="Y242">
        <f t="shared" si="38"/>
        <v>507.95600000000002</v>
      </c>
      <c r="Z242" t="str">
        <f t="shared" si="39"/>
        <v>Jenny Estrada</v>
      </c>
      <c r="AA242" s="1" t="str">
        <f t="shared" si="40"/>
        <v>Before Time</v>
      </c>
      <c r="AB242" t="str">
        <f t="shared" si="41"/>
        <v>Dec</v>
      </c>
      <c r="AC242" s="9">
        <f t="shared" si="42"/>
        <v>2023</v>
      </c>
      <c r="AD242" t="str">
        <f t="shared" si="43"/>
        <v>yahoo.com</v>
      </c>
    </row>
    <row r="243" spans="1:30" x14ac:dyDescent="0.3">
      <c r="A243" t="s">
        <v>75</v>
      </c>
      <c r="B243" t="s">
        <v>168</v>
      </c>
      <c r="C243" t="s">
        <v>253</v>
      </c>
      <c r="D243">
        <v>32</v>
      </c>
      <c r="E243" t="s">
        <v>288</v>
      </c>
      <c r="F243" t="s">
        <v>293</v>
      </c>
      <c r="G243" t="s">
        <v>356</v>
      </c>
      <c r="H243" t="s">
        <v>456</v>
      </c>
      <c r="I243" t="s">
        <v>715</v>
      </c>
      <c r="J243" s="1">
        <v>45117</v>
      </c>
      <c r="K243" t="s">
        <v>1215</v>
      </c>
      <c r="L243" t="s">
        <v>1534</v>
      </c>
      <c r="M243">
        <v>425.59</v>
      </c>
      <c r="N243">
        <v>5</v>
      </c>
      <c r="O243" t="s">
        <v>2047</v>
      </c>
      <c r="P243">
        <v>7</v>
      </c>
      <c r="Q243">
        <v>57</v>
      </c>
      <c r="R243" s="1">
        <v>45124</v>
      </c>
      <c r="S243" t="s">
        <v>1766</v>
      </c>
      <c r="T243">
        <f t="shared" si="33"/>
        <v>7</v>
      </c>
      <c r="U243">
        <f t="shared" si="34"/>
        <v>2127.9499999999998</v>
      </c>
      <c r="V243">
        <f t="shared" si="35"/>
        <v>2184.9499999999998</v>
      </c>
      <c r="W243">
        <f t="shared" si="36"/>
        <v>0.08</v>
      </c>
      <c r="X243">
        <f t="shared" si="37"/>
        <v>170.23599999999999</v>
      </c>
      <c r="Y243">
        <f t="shared" si="38"/>
        <v>2014.7139999999999</v>
      </c>
      <c r="Z243" t="str">
        <f t="shared" si="39"/>
        <v>Lindsey Byrd</v>
      </c>
      <c r="AA243" s="1" t="str">
        <f t="shared" si="40"/>
        <v>In Time</v>
      </c>
      <c r="AB243" t="str">
        <f t="shared" si="41"/>
        <v>Jul</v>
      </c>
      <c r="AC243" s="9">
        <f t="shared" si="42"/>
        <v>2023</v>
      </c>
      <c r="AD243" t="str">
        <f t="shared" si="43"/>
        <v>rediffmail.com</v>
      </c>
    </row>
    <row r="244" spans="1:30" x14ac:dyDescent="0.3">
      <c r="A244" t="s">
        <v>67</v>
      </c>
      <c r="B244" t="s">
        <v>161</v>
      </c>
      <c r="C244" t="s">
        <v>211</v>
      </c>
      <c r="D244">
        <v>68</v>
      </c>
      <c r="E244" t="s">
        <v>290</v>
      </c>
      <c r="F244" t="s">
        <v>298</v>
      </c>
      <c r="G244" t="s">
        <v>348</v>
      </c>
      <c r="H244" t="s">
        <v>448</v>
      </c>
      <c r="I244" t="s">
        <v>741</v>
      </c>
      <c r="J244" s="1">
        <v>45417</v>
      </c>
      <c r="K244" t="s">
        <v>1241</v>
      </c>
      <c r="L244" t="s">
        <v>1503</v>
      </c>
      <c r="M244">
        <v>363.64</v>
      </c>
      <c r="N244">
        <v>5</v>
      </c>
      <c r="O244" t="s">
        <v>1549</v>
      </c>
      <c r="P244">
        <v>7</v>
      </c>
      <c r="Q244">
        <v>60</v>
      </c>
      <c r="R244" s="1">
        <v>45419</v>
      </c>
      <c r="S244" t="s">
        <v>1792</v>
      </c>
      <c r="T244">
        <f t="shared" si="33"/>
        <v>2</v>
      </c>
      <c r="U244">
        <f t="shared" si="34"/>
        <v>1818.1999999999998</v>
      </c>
      <c r="V244">
        <f t="shared" si="35"/>
        <v>1878.1999999999998</v>
      </c>
      <c r="W244">
        <f t="shared" si="36"/>
        <v>0.1</v>
      </c>
      <c r="X244">
        <f t="shared" si="37"/>
        <v>181.82</v>
      </c>
      <c r="Y244">
        <f t="shared" si="38"/>
        <v>1696.3799999999999</v>
      </c>
      <c r="Z244" t="str">
        <f t="shared" si="39"/>
        <v>Brittany Stewart</v>
      </c>
      <c r="AA244" s="1" t="str">
        <f t="shared" si="40"/>
        <v>Before Time</v>
      </c>
      <c r="AB244" t="str">
        <f t="shared" si="41"/>
        <v>May</v>
      </c>
      <c r="AC244" s="9">
        <f t="shared" si="42"/>
        <v>2024</v>
      </c>
      <c r="AD244" t="str">
        <f t="shared" si="43"/>
        <v>gmail.com</v>
      </c>
    </row>
    <row r="245" spans="1:30" x14ac:dyDescent="0.3">
      <c r="A245" t="s">
        <v>110</v>
      </c>
      <c r="B245" t="s">
        <v>195</v>
      </c>
      <c r="C245" t="s">
        <v>200</v>
      </c>
      <c r="D245">
        <v>50</v>
      </c>
      <c r="E245" t="s">
        <v>290</v>
      </c>
      <c r="F245" t="s">
        <v>297</v>
      </c>
      <c r="G245" t="s">
        <v>391</v>
      </c>
      <c r="H245" t="s">
        <v>491</v>
      </c>
      <c r="I245" t="s">
        <v>772</v>
      </c>
      <c r="J245" s="1">
        <v>45470</v>
      </c>
      <c r="K245" t="s">
        <v>1272</v>
      </c>
      <c r="L245" t="s">
        <v>1536</v>
      </c>
      <c r="M245">
        <v>403.03</v>
      </c>
      <c r="N245">
        <v>5</v>
      </c>
      <c r="O245" t="s">
        <v>1550</v>
      </c>
      <c r="P245">
        <v>2</v>
      </c>
      <c r="Q245">
        <v>52</v>
      </c>
      <c r="R245" s="1">
        <v>45475</v>
      </c>
      <c r="S245" t="s">
        <v>1823</v>
      </c>
      <c r="T245">
        <f t="shared" si="33"/>
        <v>5</v>
      </c>
      <c r="U245">
        <f t="shared" si="34"/>
        <v>2015.1499999999999</v>
      </c>
      <c r="V245">
        <f t="shared" si="35"/>
        <v>2067.1499999999996</v>
      </c>
      <c r="W245">
        <f t="shared" si="36"/>
        <v>0.2</v>
      </c>
      <c r="X245">
        <f t="shared" si="37"/>
        <v>403.03</v>
      </c>
      <c r="Y245">
        <f t="shared" si="38"/>
        <v>1664.1199999999997</v>
      </c>
      <c r="Z245" t="str">
        <f t="shared" si="39"/>
        <v>Brendan Kelly</v>
      </c>
      <c r="AA245" s="1" t="str">
        <f t="shared" si="40"/>
        <v>Late</v>
      </c>
      <c r="AB245" t="str">
        <f t="shared" si="41"/>
        <v>Jun</v>
      </c>
      <c r="AC245" s="9">
        <f t="shared" si="42"/>
        <v>2024</v>
      </c>
      <c r="AD245" t="str">
        <f t="shared" si="43"/>
        <v>rediffmail.com</v>
      </c>
    </row>
    <row r="246" spans="1:30" x14ac:dyDescent="0.3">
      <c r="A246" t="s">
        <v>71</v>
      </c>
      <c r="B246" t="s">
        <v>165</v>
      </c>
      <c r="C246" t="s">
        <v>249</v>
      </c>
      <c r="D246">
        <v>42</v>
      </c>
      <c r="E246" t="s">
        <v>290</v>
      </c>
      <c r="F246" t="s">
        <v>295</v>
      </c>
      <c r="G246" t="s">
        <v>352</v>
      </c>
      <c r="H246" t="s">
        <v>452</v>
      </c>
      <c r="I246" t="s">
        <v>743</v>
      </c>
      <c r="J246" s="1">
        <v>44968</v>
      </c>
      <c r="K246" t="s">
        <v>1243</v>
      </c>
      <c r="L246" t="s">
        <v>1530</v>
      </c>
      <c r="M246">
        <v>369.03</v>
      </c>
      <c r="N246">
        <v>1</v>
      </c>
      <c r="O246" t="s">
        <v>1550</v>
      </c>
      <c r="P246">
        <v>6</v>
      </c>
      <c r="Q246">
        <v>38</v>
      </c>
      <c r="R246" s="1">
        <v>44974</v>
      </c>
      <c r="S246" t="s">
        <v>1794</v>
      </c>
      <c r="T246">
        <f t="shared" si="33"/>
        <v>6</v>
      </c>
      <c r="U246">
        <f t="shared" si="34"/>
        <v>369.03</v>
      </c>
      <c r="V246">
        <f t="shared" si="35"/>
        <v>407.03</v>
      </c>
      <c r="W246">
        <f t="shared" si="36"/>
        <v>0.2</v>
      </c>
      <c r="X246">
        <f t="shared" si="37"/>
        <v>73.805999999999997</v>
      </c>
      <c r="Y246">
        <f t="shared" si="38"/>
        <v>333.22399999999999</v>
      </c>
      <c r="Z246" t="str">
        <f t="shared" si="39"/>
        <v>Katherine Weber</v>
      </c>
      <c r="AA246" s="1" t="str">
        <f t="shared" si="40"/>
        <v>In Time</v>
      </c>
      <c r="AB246" t="str">
        <f t="shared" si="41"/>
        <v>Feb</v>
      </c>
      <c r="AC246" s="9">
        <f t="shared" si="42"/>
        <v>2023</v>
      </c>
      <c r="AD246" t="str">
        <f t="shared" si="43"/>
        <v>outlook.com</v>
      </c>
    </row>
    <row r="247" spans="1:30" x14ac:dyDescent="0.3">
      <c r="A247" t="s">
        <v>43</v>
      </c>
      <c r="B247" t="s">
        <v>141</v>
      </c>
      <c r="C247" t="s">
        <v>224</v>
      </c>
      <c r="D247">
        <v>19</v>
      </c>
      <c r="E247" t="s">
        <v>289</v>
      </c>
      <c r="F247" t="s">
        <v>295</v>
      </c>
      <c r="G247" t="s">
        <v>324</v>
      </c>
      <c r="H247" t="s">
        <v>424</v>
      </c>
      <c r="I247" t="s">
        <v>526</v>
      </c>
      <c r="J247" s="1">
        <v>45453</v>
      </c>
      <c r="K247" t="s">
        <v>1026</v>
      </c>
      <c r="L247" t="s">
        <v>1519</v>
      </c>
      <c r="M247">
        <v>421.7</v>
      </c>
      <c r="N247">
        <v>5</v>
      </c>
      <c r="O247" t="s">
        <v>1549</v>
      </c>
      <c r="P247">
        <v>6</v>
      </c>
      <c r="Q247">
        <v>61</v>
      </c>
      <c r="R247" s="1">
        <v>45457</v>
      </c>
      <c r="S247" t="s">
        <v>1578</v>
      </c>
      <c r="T247">
        <f t="shared" si="33"/>
        <v>4</v>
      </c>
      <c r="U247">
        <f t="shared" si="34"/>
        <v>2108.5</v>
      </c>
      <c r="V247">
        <f t="shared" si="35"/>
        <v>2169.5</v>
      </c>
      <c r="W247">
        <f t="shared" si="36"/>
        <v>0.1</v>
      </c>
      <c r="X247">
        <f t="shared" si="37"/>
        <v>210.85000000000002</v>
      </c>
      <c r="Y247">
        <f t="shared" si="38"/>
        <v>1958.65</v>
      </c>
      <c r="Z247" t="str">
        <f t="shared" si="39"/>
        <v>Jessica Ruiz</v>
      </c>
      <c r="AA247" s="1" t="str">
        <f t="shared" si="40"/>
        <v>Before Time</v>
      </c>
      <c r="AB247" t="str">
        <f t="shared" si="41"/>
        <v>Jun</v>
      </c>
      <c r="AC247" s="9">
        <f t="shared" si="42"/>
        <v>2024</v>
      </c>
      <c r="AD247" t="str">
        <f t="shared" si="43"/>
        <v>rediffmail.com</v>
      </c>
    </row>
    <row r="248" spans="1:30" x14ac:dyDescent="0.3">
      <c r="A248" t="s">
        <v>90</v>
      </c>
      <c r="B248" t="s">
        <v>139</v>
      </c>
      <c r="C248" t="s">
        <v>266</v>
      </c>
      <c r="D248">
        <v>55</v>
      </c>
      <c r="E248" t="s">
        <v>289</v>
      </c>
      <c r="F248" t="s">
        <v>293</v>
      </c>
      <c r="G248" t="s">
        <v>371</v>
      </c>
      <c r="H248" t="s">
        <v>471</v>
      </c>
      <c r="I248" t="s">
        <v>759</v>
      </c>
      <c r="J248" s="1">
        <v>45608</v>
      </c>
      <c r="K248" t="s">
        <v>1259</v>
      </c>
      <c r="L248" t="s">
        <v>1543</v>
      </c>
      <c r="M248">
        <v>381.73</v>
      </c>
      <c r="N248">
        <v>4</v>
      </c>
      <c r="O248" t="s">
        <v>2047</v>
      </c>
      <c r="P248">
        <v>2</v>
      </c>
      <c r="Q248">
        <v>58</v>
      </c>
      <c r="R248" s="1">
        <v>45613</v>
      </c>
      <c r="S248" t="s">
        <v>1810</v>
      </c>
      <c r="T248">
        <f t="shared" si="33"/>
        <v>5</v>
      </c>
      <c r="U248">
        <f t="shared" si="34"/>
        <v>1526.92</v>
      </c>
      <c r="V248">
        <f t="shared" si="35"/>
        <v>1584.92</v>
      </c>
      <c r="W248">
        <f t="shared" si="36"/>
        <v>0.08</v>
      </c>
      <c r="X248">
        <f t="shared" si="37"/>
        <v>122.15360000000001</v>
      </c>
      <c r="Y248">
        <f t="shared" si="38"/>
        <v>1462.7664</v>
      </c>
      <c r="Z248" t="str">
        <f t="shared" si="39"/>
        <v>Mark Summers</v>
      </c>
      <c r="AA248" s="1" t="str">
        <f t="shared" si="40"/>
        <v>Late</v>
      </c>
      <c r="AB248" t="str">
        <f t="shared" si="41"/>
        <v>Nov</v>
      </c>
      <c r="AC248" s="9">
        <f t="shared" si="42"/>
        <v>2024</v>
      </c>
      <c r="AD248" t="str">
        <f t="shared" si="43"/>
        <v>outlook.com</v>
      </c>
    </row>
    <row r="249" spans="1:30" x14ac:dyDescent="0.3">
      <c r="A249" t="s">
        <v>88</v>
      </c>
      <c r="B249" t="s">
        <v>178</v>
      </c>
      <c r="C249" t="s">
        <v>215</v>
      </c>
      <c r="D249">
        <v>70</v>
      </c>
      <c r="E249" t="s">
        <v>289</v>
      </c>
      <c r="F249" t="s">
        <v>296</v>
      </c>
      <c r="G249" t="s">
        <v>369</v>
      </c>
      <c r="H249" t="s">
        <v>469</v>
      </c>
      <c r="I249" t="s">
        <v>746</v>
      </c>
      <c r="J249" s="1">
        <v>45386</v>
      </c>
      <c r="K249" t="s">
        <v>1246</v>
      </c>
      <c r="L249" t="s">
        <v>1508</v>
      </c>
      <c r="M249">
        <v>175.93</v>
      </c>
      <c r="N249">
        <v>2</v>
      </c>
      <c r="O249" t="s">
        <v>1549</v>
      </c>
      <c r="P249">
        <v>7</v>
      </c>
      <c r="Q249">
        <v>61</v>
      </c>
      <c r="R249" s="1">
        <v>45391</v>
      </c>
      <c r="S249" t="s">
        <v>1797</v>
      </c>
      <c r="T249">
        <f t="shared" si="33"/>
        <v>5</v>
      </c>
      <c r="U249">
        <f t="shared" si="34"/>
        <v>351.86</v>
      </c>
      <c r="V249">
        <f t="shared" si="35"/>
        <v>412.86</v>
      </c>
      <c r="W249">
        <f t="shared" si="36"/>
        <v>0.1</v>
      </c>
      <c r="X249">
        <f t="shared" si="37"/>
        <v>35.186</v>
      </c>
      <c r="Y249">
        <f t="shared" si="38"/>
        <v>377.67400000000004</v>
      </c>
      <c r="Z249" t="str">
        <f t="shared" si="39"/>
        <v>Lisa Miller</v>
      </c>
      <c r="AA249" s="1" t="str">
        <f t="shared" si="40"/>
        <v>Before Time</v>
      </c>
      <c r="AB249" t="str">
        <f t="shared" si="41"/>
        <v>Apr</v>
      </c>
      <c r="AC249" s="9">
        <f t="shared" si="42"/>
        <v>2024</v>
      </c>
      <c r="AD249" t="str">
        <f t="shared" si="43"/>
        <v>gmail.com</v>
      </c>
    </row>
    <row r="250" spans="1:30" x14ac:dyDescent="0.3">
      <c r="A250" t="s">
        <v>21</v>
      </c>
      <c r="B250" t="s">
        <v>121</v>
      </c>
      <c r="C250" t="s">
        <v>203</v>
      </c>
      <c r="D250">
        <v>28</v>
      </c>
      <c r="E250" t="s">
        <v>290</v>
      </c>
      <c r="F250" t="s">
        <v>294</v>
      </c>
      <c r="G250" t="s">
        <v>302</v>
      </c>
      <c r="H250" t="s">
        <v>402</v>
      </c>
      <c r="I250" t="s">
        <v>933</v>
      </c>
      <c r="J250" s="1">
        <v>45322</v>
      </c>
      <c r="K250" t="s">
        <v>1432</v>
      </c>
      <c r="L250" t="s">
        <v>1543</v>
      </c>
      <c r="M250">
        <v>381.73</v>
      </c>
      <c r="N250">
        <v>2</v>
      </c>
      <c r="O250" t="s">
        <v>1548</v>
      </c>
      <c r="P250">
        <v>2</v>
      </c>
      <c r="Q250">
        <v>68</v>
      </c>
      <c r="R250" s="1">
        <v>45329</v>
      </c>
      <c r="S250" t="s">
        <v>1981</v>
      </c>
      <c r="T250">
        <f t="shared" si="33"/>
        <v>7</v>
      </c>
      <c r="U250">
        <f t="shared" si="34"/>
        <v>763.46</v>
      </c>
      <c r="V250">
        <f t="shared" si="35"/>
        <v>831.46</v>
      </c>
      <c r="W250">
        <f t="shared" si="36"/>
        <v>0.15</v>
      </c>
      <c r="X250">
        <f t="shared" si="37"/>
        <v>114.51900000000001</v>
      </c>
      <c r="Y250">
        <f t="shared" si="38"/>
        <v>716.94100000000003</v>
      </c>
      <c r="Z250" t="str">
        <f t="shared" si="39"/>
        <v>John Ramirez</v>
      </c>
      <c r="AA250" s="1" t="str">
        <f t="shared" si="40"/>
        <v>Late</v>
      </c>
      <c r="AB250" t="str">
        <f t="shared" si="41"/>
        <v>Jan</v>
      </c>
      <c r="AC250" s="9">
        <f t="shared" si="42"/>
        <v>2024</v>
      </c>
      <c r="AD250" t="str">
        <f t="shared" si="43"/>
        <v>outlook.com</v>
      </c>
    </row>
    <row r="251" spans="1:30" x14ac:dyDescent="0.3">
      <c r="A251" t="s">
        <v>20</v>
      </c>
      <c r="B251" t="s">
        <v>120</v>
      </c>
      <c r="C251" t="s">
        <v>202</v>
      </c>
      <c r="D251">
        <v>55</v>
      </c>
      <c r="E251" t="s">
        <v>289</v>
      </c>
      <c r="F251" t="s">
        <v>293</v>
      </c>
      <c r="G251" t="s">
        <v>301</v>
      </c>
      <c r="H251" t="s">
        <v>401</v>
      </c>
      <c r="I251" t="s">
        <v>501</v>
      </c>
      <c r="J251" s="1">
        <v>45470</v>
      </c>
      <c r="K251" t="s">
        <v>1001</v>
      </c>
      <c r="L251" t="s">
        <v>1499</v>
      </c>
      <c r="M251">
        <v>441.03</v>
      </c>
      <c r="N251">
        <v>3</v>
      </c>
      <c r="O251" t="s">
        <v>1547</v>
      </c>
      <c r="P251">
        <v>4</v>
      </c>
      <c r="Q251">
        <v>47</v>
      </c>
      <c r="R251" s="1">
        <v>45473</v>
      </c>
      <c r="S251" t="s">
        <v>1553</v>
      </c>
      <c r="T251">
        <f t="shared" si="33"/>
        <v>3</v>
      </c>
      <c r="U251">
        <f t="shared" si="34"/>
        <v>1323.09</v>
      </c>
      <c r="V251">
        <f t="shared" si="35"/>
        <v>1323.09</v>
      </c>
      <c r="W251">
        <f t="shared" si="36"/>
        <v>0</v>
      </c>
      <c r="X251">
        <f t="shared" si="37"/>
        <v>0</v>
      </c>
      <c r="Y251">
        <f t="shared" si="38"/>
        <v>1323.09</v>
      </c>
      <c r="Z251" t="str">
        <f t="shared" si="39"/>
        <v>Hannah Gutierrez</v>
      </c>
      <c r="AA251" s="1" t="str">
        <f t="shared" si="40"/>
        <v>Before Time</v>
      </c>
      <c r="AB251" t="str">
        <f t="shared" si="41"/>
        <v>Jun</v>
      </c>
      <c r="AC251" s="9">
        <f t="shared" si="42"/>
        <v>2024</v>
      </c>
      <c r="AD251" t="str">
        <f t="shared" si="43"/>
        <v>yahoo.com</v>
      </c>
    </row>
    <row r="252" spans="1:30" x14ac:dyDescent="0.3">
      <c r="A252" t="s">
        <v>107</v>
      </c>
      <c r="B252" t="s">
        <v>122</v>
      </c>
      <c r="C252" t="s">
        <v>281</v>
      </c>
      <c r="D252">
        <v>40</v>
      </c>
      <c r="E252" t="s">
        <v>288</v>
      </c>
      <c r="F252" t="s">
        <v>295</v>
      </c>
      <c r="G252" t="s">
        <v>388</v>
      </c>
      <c r="H252" t="s">
        <v>488</v>
      </c>
      <c r="I252" t="s">
        <v>749</v>
      </c>
      <c r="J252" s="1">
        <v>45531</v>
      </c>
      <c r="K252" t="s">
        <v>1249</v>
      </c>
      <c r="L252" t="s">
        <v>1533</v>
      </c>
      <c r="M252">
        <v>136.30000000000001</v>
      </c>
      <c r="N252">
        <v>2</v>
      </c>
      <c r="O252" t="s">
        <v>2047</v>
      </c>
      <c r="P252">
        <v>6</v>
      </c>
      <c r="Q252">
        <v>58</v>
      </c>
      <c r="R252" s="1">
        <v>45533</v>
      </c>
      <c r="S252" t="s">
        <v>1800</v>
      </c>
      <c r="T252">
        <f t="shared" si="33"/>
        <v>2</v>
      </c>
      <c r="U252">
        <f t="shared" si="34"/>
        <v>272.60000000000002</v>
      </c>
      <c r="V252">
        <f t="shared" si="35"/>
        <v>330.6</v>
      </c>
      <c r="W252">
        <f t="shared" si="36"/>
        <v>0.08</v>
      </c>
      <c r="X252">
        <f t="shared" si="37"/>
        <v>21.808000000000003</v>
      </c>
      <c r="Y252">
        <f t="shared" si="38"/>
        <v>308.79200000000003</v>
      </c>
      <c r="Z252" t="str">
        <f t="shared" si="39"/>
        <v>Angela Casey</v>
      </c>
      <c r="AA252" s="1" t="str">
        <f t="shared" si="40"/>
        <v>Before Time</v>
      </c>
      <c r="AB252" t="str">
        <f t="shared" si="41"/>
        <v>Aug</v>
      </c>
      <c r="AC252" s="9">
        <f t="shared" si="42"/>
        <v>2024</v>
      </c>
      <c r="AD252" t="str">
        <f t="shared" si="43"/>
        <v>gmail.com</v>
      </c>
    </row>
    <row r="253" spans="1:30" x14ac:dyDescent="0.3">
      <c r="A253" t="s">
        <v>74</v>
      </c>
      <c r="B253" t="s">
        <v>167</v>
      </c>
      <c r="C253" t="s">
        <v>252</v>
      </c>
      <c r="D253">
        <v>33</v>
      </c>
      <c r="E253" t="s">
        <v>290</v>
      </c>
      <c r="F253" t="s">
        <v>297</v>
      </c>
      <c r="G253" t="s">
        <v>355</v>
      </c>
      <c r="H253" t="s">
        <v>455</v>
      </c>
      <c r="I253" t="s">
        <v>750</v>
      </c>
      <c r="J253" s="1">
        <v>45383</v>
      </c>
      <c r="K253" t="s">
        <v>1250</v>
      </c>
      <c r="L253" t="s">
        <v>1536</v>
      </c>
      <c r="M253">
        <v>403.03</v>
      </c>
      <c r="N253">
        <v>3</v>
      </c>
      <c r="O253" t="s">
        <v>1548</v>
      </c>
      <c r="P253">
        <v>5</v>
      </c>
      <c r="Q253">
        <v>44</v>
      </c>
      <c r="R253" s="1">
        <v>45384</v>
      </c>
      <c r="S253" t="s">
        <v>1801</v>
      </c>
      <c r="T253">
        <f t="shared" si="33"/>
        <v>1</v>
      </c>
      <c r="U253">
        <f t="shared" si="34"/>
        <v>1209.0899999999999</v>
      </c>
      <c r="V253">
        <f t="shared" si="35"/>
        <v>1253.0899999999999</v>
      </c>
      <c r="W253">
        <f t="shared" si="36"/>
        <v>0.15</v>
      </c>
      <c r="X253">
        <f t="shared" si="37"/>
        <v>181.36349999999999</v>
      </c>
      <c r="Y253">
        <f t="shared" si="38"/>
        <v>1071.7265</v>
      </c>
      <c r="Z253" t="str">
        <f t="shared" si="39"/>
        <v>Jodi Whitney</v>
      </c>
      <c r="AA253" s="1" t="str">
        <f t="shared" si="40"/>
        <v>Before Time</v>
      </c>
      <c r="AB253" t="str">
        <f t="shared" si="41"/>
        <v>Apr</v>
      </c>
      <c r="AC253" s="9">
        <f t="shared" si="42"/>
        <v>2024</v>
      </c>
      <c r="AD253" t="str">
        <f t="shared" si="43"/>
        <v>yahoo.com</v>
      </c>
    </row>
    <row r="254" spans="1:30" x14ac:dyDescent="0.3">
      <c r="A254" t="s">
        <v>102</v>
      </c>
      <c r="B254" t="s">
        <v>190</v>
      </c>
      <c r="C254" t="s">
        <v>276</v>
      </c>
      <c r="D254">
        <v>49</v>
      </c>
      <c r="E254" t="s">
        <v>288</v>
      </c>
      <c r="F254" t="s">
        <v>292</v>
      </c>
      <c r="G254" t="s">
        <v>383</v>
      </c>
      <c r="H254" t="s">
        <v>483</v>
      </c>
      <c r="I254" t="s">
        <v>751</v>
      </c>
      <c r="J254" s="1">
        <v>45233</v>
      </c>
      <c r="K254" t="s">
        <v>1251</v>
      </c>
      <c r="L254" t="s">
        <v>1543</v>
      </c>
      <c r="M254">
        <v>381.73</v>
      </c>
      <c r="N254">
        <v>5</v>
      </c>
      <c r="O254" t="s">
        <v>2047</v>
      </c>
      <c r="P254">
        <v>7</v>
      </c>
      <c r="Q254">
        <v>45</v>
      </c>
      <c r="R254" s="1">
        <v>45236</v>
      </c>
      <c r="S254" t="s">
        <v>1802</v>
      </c>
      <c r="T254">
        <f t="shared" si="33"/>
        <v>3</v>
      </c>
      <c r="U254">
        <f t="shared" si="34"/>
        <v>1908.65</v>
      </c>
      <c r="V254">
        <f t="shared" si="35"/>
        <v>1953.65</v>
      </c>
      <c r="W254">
        <f t="shared" si="36"/>
        <v>0.08</v>
      </c>
      <c r="X254">
        <f t="shared" si="37"/>
        <v>152.69200000000001</v>
      </c>
      <c r="Y254">
        <f t="shared" si="38"/>
        <v>1800.9580000000001</v>
      </c>
      <c r="Z254" t="str">
        <f t="shared" si="39"/>
        <v>Natasha Michael</v>
      </c>
      <c r="AA254" s="1" t="str">
        <f t="shared" si="40"/>
        <v>Before Time</v>
      </c>
      <c r="AB254" t="str">
        <f t="shared" si="41"/>
        <v>Nov</v>
      </c>
      <c r="AC254" s="9">
        <f t="shared" si="42"/>
        <v>2023</v>
      </c>
      <c r="AD254" t="str">
        <f t="shared" si="43"/>
        <v>gmail.com</v>
      </c>
    </row>
    <row r="255" spans="1:30" x14ac:dyDescent="0.3">
      <c r="A255" t="s">
        <v>47</v>
      </c>
      <c r="B255" t="s">
        <v>145</v>
      </c>
      <c r="C255" t="s">
        <v>228</v>
      </c>
      <c r="D255">
        <v>24</v>
      </c>
      <c r="E255" t="s">
        <v>290</v>
      </c>
      <c r="F255" t="s">
        <v>298</v>
      </c>
      <c r="G255" t="s">
        <v>328</v>
      </c>
      <c r="H255" t="s">
        <v>428</v>
      </c>
      <c r="I255" t="s">
        <v>752</v>
      </c>
      <c r="J255" s="1">
        <v>45668</v>
      </c>
      <c r="K255" t="s">
        <v>1252</v>
      </c>
      <c r="L255" t="s">
        <v>1543</v>
      </c>
      <c r="M255">
        <v>381.73</v>
      </c>
      <c r="N255">
        <v>1</v>
      </c>
      <c r="O255" t="s">
        <v>2047</v>
      </c>
      <c r="P255">
        <v>3</v>
      </c>
      <c r="Q255">
        <v>36</v>
      </c>
      <c r="R255" s="1">
        <v>45675</v>
      </c>
      <c r="S255" t="s">
        <v>1803</v>
      </c>
      <c r="T255">
        <f t="shared" si="33"/>
        <v>7</v>
      </c>
      <c r="U255">
        <f t="shared" si="34"/>
        <v>381.73</v>
      </c>
      <c r="V255">
        <f t="shared" si="35"/>
        <v>417.73</v>
      </c>
      <c r="W255">
        <f t="shared" si="36"/>
        <v>0.08</v>
      </c>
      <c r="X255">
        <f t="shared" si="37"/>
        <v>30.538400000000003</v>
      </c>
      <c r="Y255">
        <f t="shared" si="38"/>
        <v>387.19159999999999</v>
      </c>
      <c r="Z255" t="str">
        <f t="shared" si="39"/>
        <v>Rachael Robinson</v>
      </c>
      <c r="AA255" s="1" t="str">
        <f t="shared" si="40"/>
        <v>Late</v>
      </c>
      <c r="AB255" t="str">
        <f t="shared" si="41"/>
        <v>Jan</v>
      </c>
      <c r="AC255" s="9">
        <f t="shared" si="42"/>
        <v>2025</v>
      </c>
      <c r="AD255" t="str">
        <f t="shared" si="43"/>
        <v>rediffmail.com</v>
      </c>
    </row>
    <row r="256" spans="1:30" x14ac:dyDescent="0.3">
      <c r="A256" t="s">
        <v>64</v>
      </c>
      <c r="B256" t="s">
        <v>159</v>
      </c>
      <c r="C256" t="s">
        <v>245</v>
      </c>
      <c r="D256">
        <v>63</v>
      </c>
      <c r="E256" t="s">
        <v>288</v>
      </c>
      <c r="F256" t="s">
        <v>294</v>
      </c>
      <c r="G256" t="s">
        <v>345</v>
      </c>
      <c r="H256" t="s">
        <v>445</v>
      </c>
      <c r="I256" t="s">
        <v>753</v>
      </c>
      <c r="J256" s="1">
        <v>45457</v>
      </c>
      <c r="K256" t="s">
        <v>1253</v>
      </c>
      <c r="L256" t="s">
        <v>1534</v>
      </c>
      <c r="M256">
        <v>425.59</v>
      </c>
      <c r="N256">
        <v>1</v>
      </c>
      <c r="O256" t="s">
        <v>1550</v>
      </c>
      <c r="P256">
        <v>7</v>
      </c>
      <c r="Q256">
        <v>40</v>
      </c>
      <c r="R256" s="1">
        <v>45460</v>
      </c>
      <c r="S256" t="s">
        <v>1804</v>
      </c>
      <c r="T256">
        <f t="shared" si="33"/>
        <v>3</v>
      </c>
      <c r="U256">
        <f t="shared" si="34"/>
        <v>425.59</v>
      </c>
      <c r="V256">
        <f t="shared" si="35"/>
        <v>465.59</v>
      </c>
      <c r="W256">
        <f t="shared" si="36"/>
        <v>0.2</v>
      </c>
      <c r="X256">
        <f t="shared" si="37"/>
        <v>85.117999999999995</v>
      </c>
      <c r="Y256">
        <f t="shared" si="38"/>
        <v>380.47199999999998</v>
      </c>
      <c r="Z256" t="str">
        <f t="shared" si="39"/>
        <v>Rebecca Figueroa</v>
      </c>
      <c r="AA256" s="1" t="str">
        <f t="shared" si="40"/>
        <v>Before Time</v>
      </c>
      <c r="AB256" t="str">
        <f t="shared" si="41"/>
        <v>Jun</v>
      </c>
      <c r="AC256" s="9">
        <f t="shared" si="42"/>
        <v>2024</v>
      </c>
      <c r="AD256" t="str">
        <f t="shared" si="43"/>
        <v>outlook.com</v>
      </c>
    </row>
    <row r="257" spans="1:30" x14ac:dyDescent="0.3">
      <c r="A257" t="s">
        <v>46</v>
      </c>
      <c r="B257" t="s">
        <v>144</v>
      </c>
      <c r="C257" t="s">
        <v>227</v>
      </c>
      <c r="D257">
        <v>44</v>
      </c>
      <c r="E257" t="s">
        <v>288</v>
      </c>
      <c r="F257" t="s">
        <v>298</v>
      </c>
      <c r="G257" t="s">
        <v>327</v>
      </c>
      <c r="H257" t="s">
        <v>427</v>
      </c>
      <c r="I257" t="s">
        <v>754</v>
      </c>
      <c r="J257" s="1">
        <v>45659</v>
      </c>
      <c r="K257" t="s">
        <v>1254</v>
      </c>
      <c r="L257" t="s">
        <v>1525</v>
      </c>
      <c r="M257">
        <v>481.48</v>
      </c>
      <c r="N257">
        <v>4</v>
      </c>
      <c r="O257" t="s">
        <v>1548</v>
      </c>
      <c r="P257">
        <v>4</v>
      </c>
      <c r="Q257">
        <v>67</v>
      </c>
      <c r="R257" s="1">
        <v>45665</v>
      </c>
      <c r="S257" t="s">
        <v>1805</v>
      </c>
      <c r="T257">
        <f t="shared" si="33"/>
        <v>6</v>
      </c>
      <c r="U257">
        <f t="shared" si="34"/>
        <v>1925.92</v>
      </c>
      <c r="V257">
        <f t="shared" si="35"/>
        <v>1992.92</v>
      </c>
      <c r="W257">
        <f t="shared" si="36"/>
        <v>0.15</v>
      </c>
      <c r="X257">
        <f t="shared" si="37"/>
        <v>288.88799999999998</v>
      </c>
      <c r="Y257">
        <f t="shared" si="38"/>
        <v>1704.0320000000002</v>
      </c>
      <c r="Z257" t="str">
        <f t="shared" si="39"/>
        <v>Lauren Long</v>
      </c>
      <c r="AA257" s="1" t="str">
        <f t="shared" si="40"/>
        <v>Late</v>
      </c>
      <c r="AB257" t="str">
        <f t="shared" si="41"/>
        <v>Jan</v>
      </c>
      <c r="AC257" s="9">
        <f t="shared" si="42"/>
        <v>2025</v>
      </c>
      <c r="AD257" t="str">
        <f t="shared" si="43"/>
        <v>gmail.com</v>
      </c>
    </row>
    <row r="258" spans="1:30" x14ac:dyDescent="0.3">
      <c r="A258" t="s">
        <v>32</v>
      </c>
      <c r="B258" t="s">
        <v>132</v>
      </c>
      <c r="C258" t="s">
        <v>214</v>
      </c>
      <c r="D258">
        <v>24</v>
      </c>
      <c r="E258" t="s">
        <v>288</v>
      </c>
      <c r="F258" t="s">
        <v>293</v>
      </c>
      <c r="G258" t="s">
        <v>313</v>
      </c>
      <c r="H258" t="s">
        <v>413</v>
      </c>
      <c r="I258" t="s">
        <v>755</v>
      </c>
      <c r="J258" s="1">
        <v>45512</v>
      </c>
      <c r="K258" t="s">
        <v>1255</v>
      </c>
      <c r="L258" t="s">
        <v>1519</v>
      </c>
      <c r="M258">
        <v>421.7</v>
      </c>
      <c r="N258">
        <v>2</v>
      </c>
      <c r="O258" t="s">
        <v>1549</v>
      </c>
      <c r="P258">
        <v>2</v>
      </c>
      <c r="Q258">
        <v>54</v>
      </c>
      <c r="R258" s="1">
        <v>45514</v>
      </c>
      <c r="S258" t="s">
        <v>1806</v>
      </c>
      <c r="T258">
        <f t="shared" si="33"/>
        <v>2</v>
      </c>
      <c r="U258">
        <f t="shared" si="34"/>
        <v>843.4</v>
      </c>
      <c r="V258">
        <f t="shared" si="35"/>
        <v>897.4</v>
      </c>
      <c r="W258">
        <f t="shared" si="36"/>
        <v>0.1</v>
      </c>
      <c r="X258">
        <f t="shared" si="37"/>
        <v>84.34</v>
      </c>
      <c r="Y258">
        <f t="shared" si="38"/>
        <v>813.06</v>
      </c>
      <c r="Z258" t="str">
        <f t="shared" si="39"/>
        <v>Joshua Campbell</v>
      </c>
      <c r="AA258" s="1" t="str">
        <f t="shared" si="40"/>
        <v>In Time</v>
      </c>
      <c r="AB258" t="str">
        <f t="shared" si="41"/>
        <v>Aug</v>
      </c>
      <c r="AC258" s="9">
        <f t="shared" si="42"/>
        <v>2024</v>
      </c>
      <c r="AD258" t="str">
        <f t="shared" si="43"/>
        <v>gmail.com</v>
      </c>
    </row>
    <row r="259" spans="1:30" x14ac:dyDescent="0.3">
      <c r="A259" t="s">
        <v>49</v>
      </c>
      <c r="B259" t="s">
        <v>147</v>
      </c>
      <c r="C259" t="s">
        <v>230</v>
      </c>
      <c r="D259">
        <v>26</v>
      </c>
      <c r="E259" t="s">
        <v>290</v>
      </c>
      <c r="F259" t="s">
        <v>297</v>
      </c>
      <c r="G259" t="s">
        <v>330</v>
      </c>
      <c r="H259" t="s">
        <v>430</v>
      </c>
      <c r="I259" t="s">
        <v>756</v>
      </c>
      <c r="J259" s="1">
        <v>45393</v>
      </c>
      <c r="K259" t="s">
        <v>1256</v>
      </c>
      <c r="L259" t="s">
        <v>1521</v>
      </c>
      <c r="M259">
        <v>110.95</v>
      </c>
      <c r="N259">
        <v>3</v>
      </c>
      <c r="O259" t="s">
        <v>1547</v>
      </c>
      <c r="P259">
        <v>5</v>
      </c>
      <c r="Q259">
        <v>47</v>
      </c>
      <c r="R259" s="1">
        <v>45399</v>
      </c>
      <c r="S259" t="s">
        <v>1807</v>
      </c>
      <c r="T259">
        <f t="shared" ref="T259:T322" si="44">R259-J259</f>
        <v>6</v>
      </c>
      <c r="U259">
        <f t="shared" ref="U259:U322" si="45">M259*N259</f>
        <v>332.85</v>
      </c>
      <c r="V259">
        <f t="shared" ref="V259:V322" si="46">IF(O259="DEL0",U259,U259+Q259)</f>
        <v>332.85</v>
      </c>
      <c r="W259">
        <f t="shared" ref="W259:W322" si="47">IF(O259="FLAT8",8%,IF(O259="FLAT10",10%,IF(O259="FLAT15",15%,IF(O259="FLAT20",20%,0))))</f>
        <v>0</v>
      </c>
      <c r="X259">
        <f t="shared" ref="X259:X322" si="48">U259*W259</f>
        <v>0</v>
      </c>
      <c r="Y259">
        <f t="shared" ref="Y259:Y322" si="49">V259-X259</f>
        <v>332.85</v>
      </c>
      <c r="Z259" t="str">
        <f t="shared" ref="Z259:Z322" si="50">B259&amp;" "&amp;C259</f>
        <v>Valerie Carr</v>
      </c>
      <c r="AA259" s="1" t="str">
        <f t="shared" ref="AA259:AA322" si="51">IF(R259&lt;(J259+P259),"Before Time",IF(R259=(J259+P259),"In Time","Late"))</f>
        <v>Late</v>
      </c>
      <c r="AB259" t="str">
        <f t="shared" ref="AB259:AB322" si="52">TEXT(J259,"MMM")</f>
        <v>Apr</v>
      </c>
      <c r="AC259" s="9">
        <f t="shared" ref="AC259:AC322" si="53">YEAR(J259)</f>
        <v>2024</v>
      </c>
      <c r="AD259" t="str">
        <f t="shared" ref="AD259:AD322" si="54">RIGHT(G259,LEN(G259)-FIND("@",G259))</f>
        <v>rediffmail.com</v>
      </c>
    </row>
    <row r="260" spans="1:30" x14ac:dyDescent="0.3">
      <c r="A260" t="s">
        <v>70</v>
      </c>
      <c r="B260" t="s">
        <v>164</v>
      </c>
      <c r="C260" t="s">
        <v>248</v>
      </c>
      <c r="D260">
        <v>64</v>
      </c>
      <c r="E260" t="s">
        <v>288</v>
      </c>
      <c r="F260" t="s">
        <v>291</v>
      </c>
      <c r="G260" t="s">
        <v>351</v>
      </c>
      <c r="H260" t="s">
        <v>451</v>
      </c>
      <c r="I260" t="s">
        <v>757</v>
      </c>
      <c r="J260" s="1">
        <v>45188</v>
      </c>
      <c r="K260" t="s">
        <v>1257</v>
      </c>
      <c r="L260" t="s">
        <v>1517</v>
      </c>
      <c r="M260">
        <v>282.63</v>
      </c>
      <c r="N260">
        <v>4</v>
      </c>
      <c r="O260" t="s">
        <v>1549</v>
      </c>
      <c r="P260">
        <v>3</v>
      </c>
      <c r="Q260">
        <v>52</v>
      </c>
      <c r="R260" s="1">
        <v>45191</v>
      </c>
      <c r="S260" t="s">
        <v>1808</v>
      </c>
      <c r="T260">
        <f t="shared" si="44"/>
        <v>3</v>
      </c>
      <c r="U260">
        <f t="shared" si="45"/>
        <v>1130.52</v>
      </c>
      <c r="V260">
        <f t="shared" si="46"/>
        <v>1182.52</v>
      </c>
      <c r="W260">
        <f t="shared" si="47"/>
        <v>0.1</v>
      </c>
      <c r="X260">
        <f t="shared" si="48"/>
        <v>113.05200000000001</v>
      </c>
      <c r="Y260">
        <f t="shared" si="49"/>
        <v>1069.4680000000001</v>
      </c>
      <c r="Z260" t="str">
        <f t="shared" si="50"/>
        <v>Sarah Butler</v>
      </c>
      <c r="AA260" s="1" t="str">
        <f t="shared" si="51"/>
        <v>In Time</v>
      </c>
      <c r="AB260" t="str">
        <f t="shared" si="52"/>
        <v>Sep</v>
      </c>
      <c r="AC260" s="9">
        <f t="shared" si="53"/>
        <v>2023</v>
      </c>
      <c r="AD260" t="str">
        <f t="shared" si="54"/>
        <v>rediffmail.com</v>
      </c>
    </row>
    <row r="261" spans="1:30" x14ac:dyDescent="0.3">
      <c r="A261" t="s">
        <v>97</v>
      </c>
      <c r="B261" t="s">
        <v>186</v>
      </c>
      <c r="C261" t="s">
        <v>238</v>
      </c>
      <c r="D261">
        <v>37</v>
      </c>
      <c r="E261" t="s">
        <v>290</v>
      </c>
      <c r="F261" t="s">
        <v>298</v>
      </c>
      <c r="G261" t="s">
        <v>378</v>
      </c>
      <c r="H261" t="s">
        <v>478</v>
      </c>
      <c r="I261" t="s">
        <v>758</v>
      </c>
      <c r="J261" s="1">
        <v>45335</v>
      </c>
      <c r="K261" t="s">
        <v>1258</v>
      </c>
      <c r="L261" t="s">
        <v>1522</v>
      </c>
      <c r="M261">
        <v>158.53</v>
      </c>
      <c r="N261">
        <v>3</v>
      </c>
      <c r="O261" t="s">
        <v>1549</v>
      </c>
      <c r="P261">
        <v>3</v>
      </c>
      <c r="Q261">
        <v>63</v>
      </c>
      <c r="R261" s="1">
        <v>45336</v>
      </c>
      <c r="S261" t="s">
        <v>1809</v>
      </c>
      <c r="T261">
        <f t="shared" si="44"/>
        <v>1</v>
      </c>
      <c r="U261">
        <f t="shared" si="45"/>
        <v>475.59000000000003</v>
      </c>
      <c r="V261">
        <f t="shared" si="46"/>
        <v>538.59</v>
      </c>
      <c r="W261">
        <f t="shared" si="47"/>
        <v>0.1</v>
      </c>
      <c r="X261">
        <f t="shared" si="48"/>
        <v>47.559000000000005</v>
      </c>
      <c r="Y261">
        <f t="shared" si="49"/>
        <v>491.03100000000001</v>
      </c>
      <c r="Z261" t="str">
        <f t="shared" si="50"/>
        <v>Susan Thompson</v>
      </c>
      <c r="AA261" s="1" t="str">
        <f t="shared" si="51"/>
        <v>Before Time</v>
      </c>
      <c r="AB261" t="str">
        <f t="shared" si="52"/>
        <v>Feb</v>
      </c>
      <c r="AC261" s="9">
        <f t="shared" si="53"/>
        <v>2024</v>
      </c>
      <c r="AD261" t="str">
        <f t="shared" si="54"/>
        <v>outlook.com</v>
      </c>
    </row>
    <row r="262" spans="1:30" x14ac:dyDescent="0.3">
      <c r="A262" t="s">
        <v>90</v>
      </c>
      <c r="B262" t="s">
        <v>139</v>
      </c>
      <c r="C262" t="s">
        <v>266</v>
      </c>
      <c r="D262">
        <v>55</v>
      </c>
      <c r="E262" t="s">
        <v>289</v>
      </c>
      <c r="F262" t="s">
        <v>293</v>
      </c>
      <c r="G262" t="s">
        <v>371</v>
      </c>
      <c r="H262" t="s">
        <v>471</v>
      </c>
      <c r="I262" t="s">
        <v>795</v>
      </c>
      <c r="J262" s="1">
        <v>45026</v>
      </c>
      <c r="K262" t="s">
        <v>1295</v>
      </c>
      <c r="L262" t="s">
        <v>1520</v>
      </c>
      <c r="M262">
        <v>62.42</v>
      </c>
      <c r="N262">
        <v>3</v>
      </c>
      <c r="O262" t="s">
        <v>2047</v>
      </c>
      <c r="P262">
        <v>3</v>
      </c>
      <c r="Q262">
        <v>37</v>
      </c>
      <c r="R262" s="1">
        <v>45031</v>
      </c>
      <c r="S262" t="s">
        <v>1846</v>
      </c>
      <c r="T262">
        <f t="shared" si="44"/>
        <v>5</v>
      </c>
      <c r="U262">
        <f t="shared" si="45"/>
        <v>187.26</v>
      </c>
      <c r="V262">
        <f t="shared" si="46"/>
        <v>224.26</v>
      </c>
      <c r="W262">
        <f t="shared" si="47"/>
        <v>0.08</v>
      </c>
      <c r="X262">
        <f t="shared" si="48"/>
        <v>14.9808</v>
      </c>
      <c r="Y262">
        <f t="shared" si="49"/>
        <v>209.2792</v>
      </c>
      <c r="Z262" t="str">
        <f t="shared" si="50"/>
        <v>Mark Summers</v>
      </c>
      <c r="AA262" s="1" t="str">
        <f t="shared" si="51"/>
        <v>Late</v>
      </c>
      <c r="AB262" t="str">
        <f t="shared" si="52"/>
        <v>Apr</v>
      </c>
      <c r="AC262" s="9">
        <f t="shared" si="53"/>
        <v>2023</v>
      </c>
      <c r="AD262" t="str">
        <f t="shared" si="54"/>
        <v>outlook.com</v>
      </c>
    </row>
    <row r="263" spans="1:30" x14ac:dyDescent="0.3">
      <c r="A263" t="s">
        <v>49</v>
      </c>
      <c r="B263" t="s">
        <v>147</v>
      </c>
      <c r="C263" t="s">
        <v>230</v>
      </c>
      <c r="D263">
        <v>26</v>
      </c>
      <c r="E263" t="s">
        <v>290</v>
      </c>
      <c r="F263" t="s">
        <v>297</v>
      </c>
      <c r="G263" t="s">
        <v>330</v>
      </c>
      <c r="H263" t="s">
        <v>430</v>
      </c>
      <c r="I263" t="s">
        <v>760</v>
      </c>
      <c r="J263" s="1">
        <v>45454</v>
      </c>
      <c r="K263" t="s">
        <v>1260</v>
      </c>
      <c r="L263" t="s">
        <v>1539</v>
      </c>
      <c r="M263">
        <v>235.63</v>
      </c>
      <c r="N263">
        <v>2</v>
      </c>
      <c r="O263" t="s">
        <v>1548</v>
      </c>
      <c r="P263">
        <v>4</v>
      </c>
      <c r="Q263">
        <v>44</v>
      </c>
      <c r="R263" s="1">
        <v>45458</v>
      </c>
      <c r="S263" t="s">
        <v>1811</v>
      </c>
      <c r="T263">
        <f t="shared" si="44"/>
        <v>4</v>
      </c>
      <c r="U263">
        <f t="shared" si="45"/>
        <v>471.26</v>
      </c>
      <c r="V263">
        <f t="shared" si="46"/>
        <v>515.26</v>
      </c>
      <c r="W263">
        <f t="shared" si="47"/>
        <v>0.15</v>
      </c>
      <c r="X263">
        <f t="shared" si="48"/>
        <v>70.688999999999993</v>
      </c>
      <c r="Y263">
        <f t="shared" si="49"/>
        <v>444.57100000000003</v>
      </c>
      <c r="Z263" t="str">
        <f t="shared" si="50"/>
        <v>Valerie Carr</v>
      </c>
      <c r="AA263" s="1" t="str">
        <f t="shared" si="51"/>
        <v>In Time</v>
      </c>
      <c r="AB263" t="str">
        <f t="shared" si="52"/>
        <v>Jun</v>
      </c>
      <c r="AC263" s="9">
        <f t="shared" si="53"/>
        <v>2024</v>
      </c>
      <c r="AD263" t="str">
        <f t="shared" si="54"/>
        <v>rediffmail.com</v>
      </c>
    </row>
    <row r="264" spans="1:30" x14ac:dyDescent="0.3">
      <c r="A264" t="s">
        <v>46</v>
      </c>
      <c r="B264" t="s">
        <v>144</v>
      </c>
      <c r="C264" t="s">
        <v>227</v>
      </c>
      <c r="D264">
        <v>44</v>
      </c>
      <c r="E264" t="s">
        <v>288</v>
      </c>
      <c r="F264" t="s">
        <v>298</v>
      </c>
      <c r="G264" t="s">
        <v>327</v>
      </c>
      <c r="H264" t="s">
        <v>427</v>
      </c>
      <c r="I264" t="s">
        <v>761</v>
      </c>
      <c r="J264" s="1">
        <v>45547</v>
      </c>
      <c r="K264" t="s">
        <v>1261</v>
      </c>
      <c r="L264" t="s">
        <v>1524</v>
      </c>
      <c r="M264">
        <v>157.63999999999999</v>
      </c>
      <c r="N264">
        <v>2</v>
      </c>
      <c r="O264" t="s">
        <v>2047</v>
      </c>
      <c r="P264">
        <v>1</v>
      </c>
      <c r="Q264">
        <v>56</v>
      </c>
      <c r="R264" s="1">
        <v>45552</v>
      </c>
      <c r="S264" t="s">
        <v>1812</v>
      </c>
      <c r="T264">
        <f t="shared" si="44"/>
        <v>5</v>
      </c>
      <c r="U264">
        <f t="shared" si="45"/>
        <v>315.27999999999997</v>
      </c>
      <c r="V264">
        <f t="shared" si="46"/>
        <v>371.28</v>
      </c>
      <c r="W264">
        <f t="shared" si="47"/>
        <v>0.08</v>
      </c>
      <c r="X264">
        <f t="shared" si="48"/>
        <v>25.222399999999997</v>
      </c>
      <c r="Y264">
        <f t="shared" si="49"/>
        <v>346.05759999999998</v>
      </c>
      <c r="Z264" t="str">
        <f t="shared" si="50"/>
        <v>Lauren Long</v>
      </c>
      <c r="AA264" s="1" t="str">
        <f t="shared" si="51"/>
        <v>Late</v>
      </c>
      <c r="AB264" t="str">
        <f t="shared" si="52"/>
        <v>Sep</v>
      </c>
      <c r="AC264" s="9">
        <f t="shared" si="53"/>
        <v>2024</v>
      </c>
      <c r="AD264" t="str">
        <f t="shared" si="54"/>
        <v>gmail.com</v>
      </c>
    </row>
    <row r="265" spans="1:30" x14ac:dyDescent="0.3">
      <c r="A265" t="s">
        <v>44</v>
      </c>
      <c r="B265" t="s">
        <v>142</v>
      </c>
      <c r="C265" t="s">
        <v>225</v>
      </c>
      <c r="D265">
        <v>60</v>
      </c>
      <c r="E265" t="s">
        <v>290</v>
      </c>
      <c r="F265" t="s">
        <v>291</v>
      </c>
      <c r="G265" t="s">
        <v>325</v>
      </c>
      <c r="H265" t="s">
        <v>425</v>
      </c>
      <c r="I265" t="s">
        <v>762</v>
      </c>
      <c r="J265" s="1">
        <v>44996</v>
      </c>
      <c r="K265" t="s">
        <v>1262</v>
      </c>
      <c r="L265" t="s">
        <v>1506</v>
      </c>
      <c r="M265">
        <v>372.62</v>
      </c>
      <c r="N265">
        <v>4</v>
      </c>
      <c r="O265" t="s">
        <v>1548</v>
      </c>
      <c r="P265">
        <v>2</v>
      </c>
      <c r="Q265">
        <v>42</v>
      </c>
      <c r="R265" s="1">
        <v>45001</v>
      </c>
      <c r="S265" t="s">
        <v>1813</v>
      </c>
      <c r="T265">
        <f t="shared" si="44"/>
        <v>5</v>
      </c>
      <c r="U265">
        <f t="shared" si="45"/>
        <v>1490.48</v>
      </c>
      <c r="V265">
        <f t="shared" si="46"/>
        <v>1532.48</v>
      </c>
      <c r="W265">
        <f t="shared" si="47"/>
        <v>0.15</v>
      </c>
      <c r="X265">
        <f t="shared" si="48"/>
        <v>223.572</v>
      </c>
      <c r="Y265">
        <f t="shared" si="49"/>
        <v>1308.9079999999999</v>
      </c>
      <c r="Z265" t="str">
        <f t="shared" si="50"/>
        <v>Ashley Rose</v>
      </c>
      <c r="AA265" s="1" t="str">
        <f t="shared" si="51"/>
        <v>Late</v>
      </c>
      <c r="AB265" t="str">
        <f t="shared" si="52"/>
        <v>Mar</v>
      </c>
      <c r="AC265" s="9">
        <f t="shared" si="53"/>
        <v>2023</v>
      </c>
      <c r="AD265" t="str">
        <f t="shared" si="54"/>
        <v>gmail.com</v>
      </c>
    </row>
    <row r="266" spans="1:30" x14ac:dyDescent="0.3">
      <c r="A266" t="s">
        <v>110</v>
      </c>
      <c r="B266" t="s">
        <v>195</v>
      </c>
      <c r="C266" t="s">
        <v>200</v>
      </c>
      <c r="D266">
        <v>50</v>
      </c>
      <c r="E266" t="s">
        <v>290</v>
      </c>
      <c r="F266" t="s">
        <v>297</v>
      </c>
      <c r="G266" t="s">
        <v>391</v>
      </c>
      <c r="H266" t="s">
        <v>491</v>
      </c>
      <c r="I266" t="s">
        <v>797</v>
      </c>
      <c r="J266" s="1">
        <v>45672</v>
      </c>
      <c r="K266" t="s">
        <v>1297</v>
      </c>
      <c r="L266" t="s">
        <v>1536</v>
      </c>
      <c r="M266">
        <v>403.03</v>
      </c>
      <c r="N266">
        <v>2</v>
      </c>
      <c r="O266" t="s">
        <v>1550</v>
      </c>
      <c r="P266">
        <v>3</v>
      </c>
      <c r="Q266">
        <v>61</v>
      </c>
      <c r="R266" s="1">
        <v>45677</v>
      </c>
      <c r="S266" t="s">
        <v>1848</v>
      </c>
      <c r="T266">
        <f t="shared" si="44"/>
        <v>5</v>
      </c>
      <c r="U266">
        <f t="shared" si="45"/>
        <v>806.06</v>
      </c>
      <c r="V266">
        <f t="shared" si="46"/>
        <v>867.06</v>
      </c>
      <c r="W266">
        <f t="shared" si="47"/>
        <v>0.2</v>
      </c>
      <c r="X266">
        <f t="shared" si="48"/>
        <v>161.21199999999999</v>
      </c>
      <c r="Y266">
        <f t="shared" si="49"/>
        <v>705.84799999999996</v>
      </c>
      <c r="Z266" t="str">
        <f t="shared" si="50"/>
        <v>Brendan Kelly</v>
      </c>
      <c r="AA266" s="1" t="str">
        <f t="shared" si="51"/>
        <v>Late</v>
      </c>
      <c r="AB266" t="str">
        <f t="shared" si="52"/>
        <v>Jan</v>
      </c>
      <c r="AC266" s="9">
        <f t="shared" si="53"/>
        <v>2025</v>
      </c>
      <c r="AD266" t="str">
        <f t="shared" si="54"/>
        <v>rediffmail.com</v>
      </c>
    </row>
    <row r="267" spans="1:30" x14ac:dyDescent="0.3">
      <c r="A267" t="s">
        <v>38</v>
      </c>
      <c r="B267" t="s">
        <v>138</v>
      </c>
      <c r="C267" t="s">
        <v>219</v>
      </c>
      <c r="D267">
        <v>39</v>
      </c>
      <c r="E267" t="s">
        <v>289</v>
      </c>
      <c r="F267" t="s">
        <v>293</v>
      </c>
      <c r="G267" t="s">
        <v>319</v>
      </c>
      <c r="H267" t="s">
        <v>419</v>
      </c>
      <c r="I267" t="s">
        <v>764</v>
      </c>
      <c r="J267" s="1">
        <v>45366</v>
      </c>
      <c r="K267" t="s">
        <v>1264</v>
      </c>
      <c r="L267" t="s">
        <v>1513</v>
      </c>
      <c r="M267">
        <v>20.7</v>
      </c>
      <c r="N267">
        <v>3</v>
      </c>
      <c r="O267" t="s">
        <v>1547</v>
      </c>
      <c r="P267">
        <v>1</v>
      </c>
      <c r="Q267">
        <v>67</v>
      </c>
      <c r="R267" s="1">
        <v>45372</v>
      </c>
      <c r="S267" t="s">
        <v>1815</v>
      </c>
      <c r="T267">
        <f t="shared" si="44"/>
        <v>6</v>
      </c>
      <c r="U267">
        <f t="shared" si="45"/>
        <v>62.099999999999994</v>
      </c>
      <c r="V267">
        <f t="shared" si="46"/>
        <v>62.099999999999994</v>
      </c>
      <c r="W267">
        <f t="shared" si="47"/>
        <v>0</v>
      </c>
      <c r="X267">
        <f t="shared" si="48"/>
        <v>0</v>
      </c>
      <c r="Y267">
        <f t="shared" si="49"/>
        <v>62.099999999999994</v>
      </c>
      <c r="Z267" t="str">
        <f t="shared" si="50"/>
        <v>Christian Clayton</v>
      </c>
      <c r="AA267" s="1" t="str">
        <f t="shared" si="51"/>
        <v>Late</v>
      </c>
      <c r="AB267" t="str">
        <f t="shared" si="52"/>
        <v>Mar</v>
      </c>
      <c r="AC267" s="9">
        <f t="shared" si="53"/>
        <v>2024</v>
      </c>
      <c r="AD267" t="str">
        <f t="shared" si="54"/>
        <v>yahoo.com</v>
      </c>
    </row>
    <row r="268" spans="1:30" x14ac:dyDescent="0.3">
      <c r="A268" t="s">
        <v>35</v>
      </c>
      <c r="B268" t="s">
        <v>135</v>
      </c>
      <c r="C268" t="s">
        <v>162</v>
      </c>
      <c r="D268">
        <v>42</v>
      </c>
      <c r="E268" t="s">
        <v>289</v>
      </c>
      <c r="F268" t="s">
        <v>297</v>
      </c>
      <c r="G268" t="s">
        <v>316</v>
      </c>
      <c r="H268" t="s">
        <v>416</v>
      </c>
      <c r="I268" t="s">
        <v>765</v>
      </c>
      <c r="J268" s="1">
        <v>45541</v>
      </c>
      <c r="K268" t="s">
        <v>1265</v>
      </c>
      <c r="L268" t="s">
        <v>1533</v>
      </c>
      <c r="M268">
        <v>136.30000000000001</v>
      </c>
      <c r="N268">
        <v>2</v>
      </c>
      <c r="O268" t="s">
        <v>1550</v>
      </c>
      <c r="P268">
        <v>2</v>
      </c>
      <c r="Q268">
        <v>45</v>
      </c>
      <c r="R268" s="1">
        <v>45546</v>
      </c>
      <c r="S268" t="s">
        <v>1816</v>
      </c>
      <c r="T268">
        <f t="shared" si="44"/>
        <v>5</v>
      </c>
      <c r="U268">
        <f t="shared" si="45"/>
        <v>272.60000000000002</v>
      </c>
      <c r="V268">
        <f t="shared" si="46"/>
        <v>317.60000000000002</v>
      </c>
      <c r="W268">
        <f t="shared" si="47"/>
        <v>0.2</v>
      </c>
      <c r="X268">
        <f t="shared" si="48"/>
        <v>54.52000000000001</v>
      </c>
      <c r="Y268">
        <f t="shared" si="49"/>
        <v>263.08000000000004</v>
      </c>
      <c r="Z268" t="str">
        <f t="shared" si="50"/>
        <v>Mallory Mitchell</v>
      </c>
      <c r="AA268" s="1" t="str">
        <f t="shared" si="51"/>
        <v>Late</v>
      </c>
      <c r="AB268" t="str">
        <f t="shared" si="52"/>
        <v>Sep</v>
      </c>
      <c r="AC268" s="9">
        <f t="shared" si="53"/>
        <v>2024</v>
      </c>
      <c r="AD268" t="str">
        <f t="shared" si="54"/>
        <v>yahoo.com</v>
      </c>
    </row>
    <row r="269" spans="1:30" x14ac:dyDescent="0.3">
      <c r="A269" t="s">
        <v>86</v>
      </c>
      <c r="B269" t="s">
        <v>176</v>
      </c>
      <c r="C269" t="s">
        <v>263</v>
      </c>
      <c r="D269">
        <v>26</v>
      </c>
      <c r="E269" t="s">
        <v>290</v>
      </c>
      <c r="F269" t="s">
        <v>295</v>
      </c>
      <c r="G269" t="s">
        <v>367</v>
      </c>
      <c r="H269" t="s">
        <v>467</v>
      </c>
      <c r="I269" t="s">
        <v>766</v>
      </c>
      <c r="J269" s="1">
        <v>45389</v>
      </c>
      <c r="K269" t="s">
        <v>1266</v>
      </c>
      <c r="L269" t="s">
        <v>1521</v>
      </c>
      <c r="M269">
        <v>110.95</v>
      </c>
      <c r="N269">
        <v>2</v>
      </c>
      <c r="O269" t="s">
        <v>1550</v>
      </c>
      <c r="P269">
        <v>3</v>
      </c>
      <c r="Q269">
        <v>36</v>
      </c>
      <c r="R269" s="1">
        <v>45394</v>
      </c>
      <c r="S269" t="s">
        <v>1817</v>
      </c>
      <c r="T269">
        <f t="shared" si="44"/>
        <v>5</v>
      </c>
      <c r="U269">
        <f t="shared" si="45"/>
        <v>221.9</v>
      </c>
      <c r="V269">
        <f t="shared" si="46"/>
        <v>257.89999999999998</v>
      </c>
      <c r="W269">
        <f t="shared" si="47"/>
        <v>0.2</v>
      </c>
      <c r="X269">
        <f t="shared" si="48"/>
        <v>44.38</v>
      </c>
      <c r="Y269">
        <f t="shared" si="49"/>
        <v>213.51999999999998</v>
      </c>
      <c r="Z269" t="str">
        <f t="shared" si="50"/>
        <v>Gregory Lee</v>
      </c>
      <c r="AA269" s="1" t="str">
        <f t="shared" si="51"/>
        <v>Late</v>
      </c>
      <c r="AB269" t="str">
        <f t="shared" si="52"/>
        <v>Apr</v>
      </c>
      <c r="AC269" s="9">
        <f t="shared" si="53"/>
        <v>2024</v>
      </c>
      <c r="AD269" t="str">
        <f t="shared" si="54"/>
        <v>rediffmail.com</v>
      </c>
    </row>
    <row r="270" spans="1:30" x14ac:dyDescent="0.3">
      <c r="A270" t="s">
        <v>40</v>
      </c>
      <c r="B270" t="s">
        <v>121</v>
      </c>
      <c r="C270" t="s">
        <v>221</v>
      </c>
      <c r="D270">
        <v>64</v>
      </c>
      <c r="E270" t="s">
        <v>289</v>
      </c>
      <c r="F270" t="s">
        <v>292</v>
      </c>
      <c r="G270" t="s">
        <v>321</v>
      </c>
      <c r="H270" t="s">
        <v>421</v>
      </c>
      <c r="I270" t="s">
        <v>767</v>
      </c>
      <c r="J270" s="1">
        <v>45351</v>
      </c>
      <c r="K270" t="s">
        <v>1267</v>
      </c>
      <c r="L270" t="s">
        <v>1506</v>
      </c>
      <c r="M270">
        <v>372.62</v>
      </c>
      <c r="N270">
        <v>3</v>
      </c>
      <c r="O270" t="s">
        <v>1547</v>
      </c>
      <c r="P270">
        <v>5</v>
      </c>
      <c r="Q270">
        <v>54</v>
      </c>
      <c r="R270" s="1">
        <v>45352</v>
      </c>
      <c r="S270" t="s">
        <v>1818</v>
      </c>
      <c r="T270">
        <f t="shared" si="44"/>
        <v>1</v>
      </c>
      <c r="U270">
        <f t="shared" si="45"/>
        <v>1117.8600000000001</v>
      </c>
      <c r="V270">
        <f t="shared" si="46"/>
        <v>1117.8600000000001</v>
      </c>
      <c r="W270">
        <f t="shared" si="47"/>
        <v>0</v>
      </c>
      <c r="X270">
        <f t="shared" si="48"/>
        <v>0</v>
      </c>
      <c r="Y270">
        <f t="shared" si="49"/>
        <v>1117.8600000000001</v>
      </c>
      <c r="Z270" t="str">
        <f t="shared" si="50"/>
        <v>John Herrera</v>
      </c>
      <c r="AA270" s="1" t="str">
        <f t="shared" si="51"/>
        <v>Before Time</v>
      </c>
      <c r="AB270" t="str">
        <f t="shared" si="52"/>
        <v>Feb</v>
      </c>
      <c r="AC270" s="9">
        <f t="shared" si="53"/>
        <v>2024</v>
      </c>
      <c r="AD270" t="str">
        <f t="shared" si="54"/>
        <v>outlook.com</v>
      </c>
    </row>
    <row r="271" spans="1:30" x14ac:dyDescent="0.3">
      <c r="A271" t="s">
        <v>108</v>
      </c>
      <c r="B271" t="s">
        <v>193</v>
      </c>
      <c r="C271" t="s">
        <v>282</v>
      </c>
      <c r="D271">
        <v>63</v>
      </c>
      <c r="E271" t="s">
        <v>288</v>
      </c>
      <c r="F271" t="s">
        <v>297</v>
      </c>
      <c r="G271" t="s">
        <v>389</v>
      </c>
      <c r="H271" t="s">
        <v>489</v>
      </c>
      <c r="I271" t="s">
        <v>768</v>
      </c>
      <c r="J271" s="1">
        <v>45083</v>
      </c>
      <c r="K271" t="s">
        <v>1268</v>
      </c>
      <c r="L271" t="s">
        <v>1524</v>
      </c>
      <c r="M271">
        <v>157.63999999999999</v>
      </c>
      <c r="N271">
        <v>2</v>
      </c>
      <c r="O271" t="s">
        <v>2047</v>
      </c>
      <c r="P271">
        <v>4</v>
      </c>
      <c r="Q271">
        <v>61</v>
      </c>
      <c r="R271" s="1">
        <v>45090</v>
      </c>
      <c r="S271" t="s">
        <v>1819</v>
      </c>
      <c r="T271">
        <f t="shared" si="44"/>
        <v>7</v>
      </c>
      <c r="U271">
        <f t="shared" si="45"/>
        <v>315.27999999999997</v>
      </c>
      <c r="V271">
        <f t="shared" si="46"/>
        <v>376.28</v>
      </c>
      <c r="W271">
        <f t="shared" si="47"/>
        <v>0.08</v>
      </c>
      <c r="X271">
        <f t="shared" si="48"/>
        <v>25.222399999999997</v>
      </c>
      <c r="Y271">
        <f t="shared" si="49"/>
        <v>351.05759999999998</v>
      </c>
      <c r="Z271" t="str">
        <f t="shared" si="50"/>
        <v>Megan Hunt</v>
      </c>
      <c r="AA271" s="1" t="str">
        <f t="shared" si="51"/>
        <v>Late</v>
      </c>
      <c r="AB271" t="str">
        <f t="shared" si="52"/>
        <v>Jun</v>
      </c>
      <c r="AC271" s="9">
        <f t="shared" si="53"/>
        <v>2023</v>
      </c>
      <c r="AD271" t="str">
        <f t="shared" si="54"/>
        <v>rediffmail.com</v>
      </c>
    </row>
    <row r="272" spans="1:30" x14ac:dyDescent="0.3">
      <c r="A272" t="s">
        <v>43</v>
      </c>
      <c r="B272" t="s">
        <v>141</v>
      </c>
      <c r="C272" t="s">
        <v>224</v>
      </c>
      <c r="D272">
        <v>19</v>
      </c>
      <c r="E272" t="s">
        <v>289</v>
      </c>
      <c r="F272" t="s">
        <v>295</v>
      </c>
      <c r="G272" t="s">
        <v>324</v>
      </c>
      <c r="H272" t="s">
        <v>424</v>
      </c>
      <c r="I272" t="s">
        <v>615</v>
      </c>
      <c r="J272" s="1">
        <v>44997</v>
      </c>
      <c r="K272" t="s">
        <v>1115</v>
      </c>
      <c r="L272" t="s">
        <v>1509</v>
      </c>
      <c r="M272">
        <v>190.1</v>
      </c>
      <c r="N272">
        <v>3</v>
      </c>
      <c r="O272" t="s">
        <v>2047</v>
      </c>
      <c r="P272">
        <v>4</v>
      </c>
      <c r="Q272">
        <v>63</v>
      </c>
      <c r="R272" s="1">
        <v>45002</v>
      </c>
      <c r="S272" t="s">
        <v>1667</v>
      </c>
      <c r="T272">
        <f t="shared" si="44"/>
        <v>5</v>
      </c>
      <c r="U272">
        <f t="shared" si="45"/>
        <v>570.29999999999995</v>
      </c>
      <c r="V272">
        <f t="shared" si="46"/>
        <v>633.29999999999995</v>
      </c>
      <c r="W272">
        <f t="shared" si="47"/>
        <v>0.08</v>
      </c>
      <c r="X272">
        <f t="shared" si="48"/>
        <v>45.623999999999995</v>
      </c>
      <c r="Y272">
        <f t="shared" si="49"/>
        <v>587.67599999999993</v>
      </c>
      <c r="Z272" t="str">
        <f t="shared" si="50"/>
        <v>Jessica Ruiz</v>
      </c>
      <c r="AA272" s="1" t="str">
        <f t="shared" si="51"/>
        <v>Late</v>
      </c>
      <c r="AB272" t="str">
        <f t="shared" si="52"/>
        <v>Mar</v>
      </c>
      <c r="AC272" s="9">
        <f t="shared" si="53"/>
        <v>2023</v>
      </c>
      <c r="AD272" t="str">
        <f t="shared" si="54"/>
        <v>rediffmail.com</v>
      </c>
    </row>
    <row r="273" spans="1:30" x14ac:dyDescent="0.3">
      <c r="A273" t="s">
        <v>109</v>
      </c>
      <c r="B273" t="s">
        <v>194</v>
      </c>
      <c r="C273" t="s">
        <v>283</v>
      </c>
      <c r="D273">
        <v>43</v>
      </c>
      <c r="E273" t="s">
        <v>288</v>
      </c>
      <c r="F273" t="s">
        <v>294</v>
      </c>
      <c r="G273" t="s">
        <v>390</v>
      </c>
      <c r="H273" t="s">
        <v>490</v>
      </c>
      <c r="I273" t="s">
        <v>770</v>
      </c>
      <c r="J273" s="1">
        <v>45428</v>
      </c>
      <c r="K273" t="s">
        <v>1270</v>
      </c>
      <c r="L273" t="s">
        <v>1544</v>
      </c>
      <c r="M273">
        <v>107.47</v>
      </c>
      <c r="N273">
        <v>1</v>
      </c>
      <c r="O273" t="s">
        <v>2047</v>
      </c>
      <c r="P273">
        <v>4</v>
      </c>
      <c r="Q273">
        <v>36</v>
      </c>
      <c r="R273" s="1">
        <v>45430</v>
      </c>
      <c r="S273" t="s">
        <v>1821</v>
      </c>
      <c r="T273">
        <f t="shared" si="44"/>
        <v>2</v>
      </c>
      <c r="U273">
        <f t="shared" si="45"/>
        <v>107.47</v>
      </c>
      <c r="V273">
        <f t="shared" si="46"/>
        <v>143.47</v>
      </c>
      <c r="W273">
        <f t="shared" si="47"/>
        <v>0.08</v>
      </c>
      <c r="X273">
        <f t="shared" si="48"/>
        <v>8.5975999999999999</v>
      </c>
      <c r="Y273">
        <f t="shared" si="49"/>
        <v>134.8724</v>
      </c>
      <c r="Z273" t="str">
        <f t="shared" si="50"/>
        <v>Jared Horn</v>
      </c>
      <c r="AA273" s="1" t="str">
        <f t="shared" si="51"/>
        <v>Before Time</v>
      </c>
      <c r="AB273" t="str">
        <f t="shared" si="52"/>
        <v>May</v>
      </c>
      <c r="AC273" s="9">
        <f t="shared" si="53"/>
        <v>2024</v>
      </c>
      <c r="AD273" t="str">
        <f t="shared" si="54"/>
        <v>outlook.com</v>
      </c>
    </row>
    <row r="274" spans="1:30" x14ac:dyDescent="0.3">
      <c r="A274" t="s">
        <v>57</v>
      </c>
      <c r="B274" t="s">
        <v>155</v>
      </c>
      <c r="C274" t="s">
        <v>238</v>
      </c>
      <c r="D274">
        <v>47</v>
      </c>
      <c r="E274" t="s">
        <v>289</v>
      </c>
      <c r="F274" t="s">
        <v>296</v>
      </c>
      <c r="G274" t="s">
        <v>338</v>
      </c>
      <c r="H274" t="s">
        <v>438</v>
      </c>
      <c r="I274" t="s">
        <v>771</v>
      </c>
      <c r="J274" s="1">
        <v>45012</v>
      </c>
      <c r="K274" t="s">
        <v>1271</v>
      </c>
      <c r="L274" t="s">
        <v>1508</v>
      </c>
      <c r="M274">
        <v>175.93</v>
      </c>
      <c r="N274">
        <v>3</v>
      </c>
      <c r="O274" t="s">
        <v>1547</v>
      </c>
      <c r="P274">
        <v>3</v>
      </c>
      <c r="Q274">
        <v>58</v>
      </c>
      <c r="R274" s="1">
        <v>45017</v>
      </c>
      <c r="S274" t="s">
        <v>1822</v>
      </c>
      <c r="T274">
        <f t="shared" si="44"/>
        <v>5</v>
      </c>
      <c r="U274">
        <f t="shared" si="45"/>
        <v>527.79</v>
      </c>
      <c r="V274">
        <f t="shared" si="46"/>
        <v>527.79</v>
      </c>
      <c r="W274">
        <f t="shared" si="47"/>
        <v>0</v>
      </c>
      <c r="X274">
        <f t="shared" si="48"/>
        <v>0</v>
      </c>
      <c r="Y274">
        <f t="shared" si="49"/>
        <v>527.79</v>
      </c>
      <c r="Z274" t="str">
        <f t="shared" si="50"/>
        <v>Aaron Thompson</v>
      </c>
      <c r="AA274" s="1" t="str">
        <f t="shared" si="51"/>
        <v>Late</v>
      </c>
      <c r="AB274" t="str">
        <f t="shared" si="52"/>
        <v>Mar</v>
      </c>
      <c r="AC274" s="9">
        <f t="shared" si="53"/>
        <v>2023</v>
      </c>
      <c r="AD274" t="str">
        <f t="shared" si="54"/>
        <v>gmail.com</v>
      </c>
    </row>
    <row r="275" spans="1:30" x14ac:dyDescent="0.3">
      <c r="A275" t="s">
        <v>110</v>
      </c>
      <c r="B275" t="s">
        <v>195</v>
      </c>
      <c r="C275" t="s">
        <v>200</v>
      </c>
      <c r="D275">
        <v>50</v>
      </c>
      <c r="E275" t="s">
        <v>290</v>
      </c>
      <c r="F275" t="s">
        <v>297</v>
      </c>
      <c r="G275" t="s">
        <v>391</v>
      </c>
      <c r="H275" t="s">
        <v>491</v>
      </c>
      <c r="I275" t="s">
        <v>811</v>
      </c>
      <c r="J275" s="1">
        <v>45481</v>
      </c>
      <c r="K275" t="s">
        <v>1311</v>
      </c>
      <c r="L275" t="s">
        <v>1540</v>
      </c>
      <c r="M275">
        <v>424.82</v>
      </c>
      <c r="N275">
        <v>3</v>
      </c>
      <c r="O275" t="s">
        <v>1547</v>
      </c>
      <c r="P275">
        <v>3</v>
      </c>
      <c r="Q275">
        <v>42</v>
      </c>
      <c r="R275" s="1">
        <v>45482</v>
      </c>
      <c r="S275" t="s">
        <v>1862</v>
      </c>
      <c r="T275">
        <f t="shared" si="44"/>
        <v>1</v>
      </c>
      <c r="U275">
        <f t="shared" si="45"/>
        <v>1274.46</v>
      </c>
      <c r="V275">
        <f t="shared" si="46"/>
        <v>1274.46</v>
      </c>
      <c r="W275">
        <f t="shared" si="47"/>
        <v>0</v>
      </c>
      <c r="X275">
        <f t="shared" si="48"/>
        <v>0</v>
      </c>
      <c r="Y275">
        <f t="shared" si="49"/>
        <v>1274.46</v>
      </c>
      <c r="Z275" t="str">
        <f t="shared" si="50"/>
        <v>Brendan Kelly</v>
      </c>
      <c r="AA275" s="1" t="str">
        <f t="shared" si="51"/>
        <v>Before Time</v>
      </c>
      <c r="AB275" t="str">
        <f t="shared" si="52"/>
        <v>Jul</v>
      </c>
      <c r="AC275" s="9">
        <f t="shared" si="53"/>
        <v>2024</v>
      </c>
      <c r="AD275" t="str">
        <f t="shared" si="54"/>
        <v>rediffmail.com</v>
      </c>
    </row>
    <row r="276" spans="1:30" x14ac:dyDescent="0.3">
      <c r="A276" t="s">
        <v>111</v>
      </c>
      <c r="B276" t="s">
        <v>196</v>
      </c>
      <c r="C276" t="s">
        <v>239</v>
      </c>
      <c r="D276">
        <v>18</v>
      </c>
      <c r="E276" t="s">
        <v>289</v>
      </c>
      <c r="F276" t="s">
        <v>298</v>
      </c>
      <c r="G276" t="s">
        <v>392</v>
      </c>
      <c r="H276" t="s">
        <v>492</v>
      </c>
      <c r="I276" t="s">
        <v>773</v>
      </c>
      <c r="J276" s="1">
        <v>45332</v>
      </c>
      <c r="K276" t="s">
        <v>1273</v>
      </c>
      <c r="L276" t="s">
        <v>1525</v>
      </c>
      <c r="M276">
        <v>481.48</v>
      </c>
      <c r="N276">
        <v>4</v>
      </c>
      <c r="O276" t="s">
        <v>1547</v>
      </c>
      <c r="P276">
        <v>2</v>
      </c>
      <c r="Q276">
        <v>61</v>
      </c>
      <c r="R276" s="1">
        <v>45338</v>
      </c>
      <c r="S276" t="s">
        <v>1824</v>
      </c>
      <c r="T276">
        <f t="shared" si="44"/>
        <v>6</v>
      </c>
      <c r="U276">
        <f t="shared" si="45"/>
        <v>1925.92</v>
      </c>
      <c r="V276">
        <f t="shared" si="46"/>
        <v>1925.92</v>
      </c>
      <c r="W276">
        <f t="shared" si="47"/>
        <v>0</v>
      </c>
      <c r="X276">
        <f t="shared" si="48"/>
        <v>0</v>
      </c>
      <c r="Y276">
        <f t="shared" si="49"/>
        <v>1925.92</v>
      </c>
      <c r="Z276" t="str">
        <f t="shared" si="50"/>
        <v>Veronica Lopez</v>
      </c>
      <c r="AA276" s="1" t="str">
        <f t="shared" si="51"/>
        <v>Late</v>
      </c>
      <c r="AB276" t="str">
        <f t="shared" si="52"/>
        <v>Feb</v>
      </c>
      <c r="AC276" s="9">
        <f t="shared" si="53"/>
        <v>2024</v>
      </c>
      <c r="AD276" t="str">
        <f t="shared" si="54"/>
        <v>gmail.com</v>
      </c>
    </row>
    <row r="277" spans="1:30" x14ac:dyDescent="0.3">
      <c r="A277" t="s">
        <v>110</v>
      </c>
      <c r="B277" t="s">
        <v>195</v>
      </c>
      <c r="C277" t="s">
        <v>200</v>
      </c>
      <c r="D277">
        <v>50</v>
      </c>
      <c r="E277" t="s">
        <v>290</v>
      </c>
      <c r="F277" t="s">
        <v>297</v>
      </c>
      <c r="G277" t="s">
        <v>391</v>
      </c>
      <c r="H277" t="s">
        <v>491</v>
      </c>
      <c r="I277" t="s">
        <v>831</v>
      </c>
      <c r="J277" s="1">
        <v>45599</v>
      </c>
      <c r="K277" t="s">
        <v>1331</v>
      </c>
      <c r="L277" t="s">
        <v>1512</v>
      </c>
      <c r="M277">
        <v>104.18</v>
      </c>
      <c r="N277">
        <v>1</v>
      </c>
      <c r="O277" t="s">
        <v>2047</v>
      </c>
      <c r="P277">
        <v>1</v>
      </c>
      <c r="Q277">
        <v>48</v>
      </c>
      <c r="R277" s="1">
        <v>45603</v>
      </c>
      <c r="S277" t="s">
        <v>1882</v>
      </c>
      <c r="T277">
        <f t="shared" si="44"/>
        <v>4</v>
      </c>
      <c r="U277">
        <f t="shared" si="45"/>
        <v>104.18</v>
      </c>
      <c r="V277">
        <f t="shared" si="46"/>
        <v>152.18</v>
      </c>
      <c r="W277">
        <f t="shared" si="47"/>
        <v>0.08</v>
      </c>
      <c r="X277">
        <f t="shared" si="48"/>
        <v>8.3344000000000005</v>
      </c>
      <c r="Y277">
        <f t="shared" si="49"/>
        <v>143.84560000000002</v>
      </c>
      <c r="Z277" t="str">
        <f t="shared" si="50"/>
        <v>Brendan Kelly</v>
      </c>
      <c r="AA277" s="1" t="str">
        <f t="shared" si="51"/>
        <v>Late</v>
      </c>
      <c r="AB277" t="str">
        <f t="shared" si="52"/>
        <v>Nov</v>
      </c>
      <c r="AC277" s="9">
        <f t="shared" si="53"/>
        <v>2024</v>
      </c>
      <c r="AD277" t="str">
        <f t="shared" si="54"/>
        <v>rediffmail.com</v>
      </c>
    </row>
    <row r="278" spans="1:30" x14ac:dyDescent="0.3">
      <c r="A278" t="s">
        <v>112</v>
      </c>
      <c r="B278" t="s">
        <v>164</v>
      </c>
      <c r="C278" t="s">
        <v>284</v>
      </c>
      <c r="D278">
        <v>40</v>
      </c>
      <c r="E278" t="s">
        <v>290</v>
      </c>
      <c r="F278" t="s">
        <v>298</v>
      </c>
      <c r="G278" t="s">
        <v>393</v>
      </c>
      <c r="H278" t="s">
        <v>493</v>
      </c>
      <c r="I278" t="s">
        <v>775</v>
      </c>
      <c r="J278" s="1">
        <v>45422</v>
      </c>
      <c r="K278" t="s">
        <v>1275</v>
      </c>
      <c r="L278" t="s">
        <v>1534</v>
      </c>
      <c r="M278">
        <v>425.59</v>
      </c>
      <c r="N278">
        <v>2</v>
      </c>
      <c r="O278" t="s">
        <v>2047</v>
      </c>
      <c r="P278">
        <v>3</v>
      </c>
      <c r="Q278">
        <v>47</v>
      </c>
      <c r="R278" s="1">
        <v>45423</v>
      </c>
      <c r="S278" t="s">
        <v>1826</v>
      </c>
      <c r="T278">
        <f t="shared" si="44"/>
        <v>1</v>
      </c>
      <c r="U278">
        <f t="shared" si="45"/>
        <v>851.18</v>
      </c>
      <c r="V278">
        <f t="shared" si="46"/>
        <v>898.18</v>
      </c>
      <c r="W278">
        <f t="shared" si="47"/>
        <v>0.08</v>
      </c>
      <c r="X278">
        <f t="shared" si="48"/>
        <v>68.094399999999993</v>
      </c>
      <c r="Y278">
        <f t="shared" si="49"/>
        <v>830.0856</v>
      </c>
      <c r="Z278" t="str">
        <f t="shared" si="50"/>
        <v>Sarah Benson</v>
      </c>
      <c r="AA278" s="1" t="str">
        <f t="shared" si="51"/>
        <v>Before Time</v>
      </c>
      <c r="AB278" t="str">
        <f t="shared" si="52"/>
        <v>May</v>
      </c>
      <c r="AC278" s="9">
        <f t="shared" si="53"/>
        <v>2024</v>
      </c>
      <c r="AD278" t="str">
        <f t="shared" si="54"/>
        <v>outlook.com</v>
      </c>
    </row>
    <row r="279" spans="1:30" x14ac:dyDescent="0.3">
      <c r="A279" t="s">
        <v>43</v>
      </c>
      <c r="B279" t="s">
        <v>141</v>
      </c>
      <c r="C279" t="s">
        <v>224</v>
      </c>
      <c r="D279">
        <v>19</v>
      </c>
      <c r="E279" t="s">
        <v>289</v>
      </c>
      <c r="F279" t="s">
        <v>295</v>
      </c>
      <c r="G279" t="s">
        <v>324</v>
      </c>
      <c r="H279" t="s">
        <v>424</v>
      </c>
      <c r="I279" t="s">
        <v>661</v>
      </c>
      <c r="J279" s="1">
        <v>45017</v>
      </c>
      <c r="K279" t="s">
        <v>1161</v>
      </c>
      <c r="L279" t="s">
        <v>1514</v>
      </c>
      <c r="M279">
        <v>461.07</v>
      </c>
      <c r="N279">
        <v>4</v>
      </c>
      <c r="O279" t="s">
        <v>1547</v>
      </c>
      <c r="P279">
        <v>6</v>
      </c>
      <c r="Q279">
        <v>46</v>
      </c>
      <c r="R279" s="1">
        <v>45022</v>
      </c>
      <c r="S279" t="s">
        <v>1713</v>
      </c>
      <c r="T279">
        <f t="shared" si="44"/>
        <v>5</v>
      </c>
      <c r="U279">
        <f t="shared" si="45"/>
        <v>1844.28</v>
      </c>
      <c r="V279">
        <f t="shared" si="46"/>
        <v>1844.28</v>
      </c>
      <c r="W279">
        <f t="shared" si="47"/>
        <v>0</v>
      </c>
      <c r="X279">
        <f t="shared" si="48"/>
        <v>0</v>
      </c>
      <c r="Y279">
        <f t="shared" si="49"/>
        <v>1844.28</v>
      </c>
      <c r="Z279" t="str">
        <f t="shared" si="50"/>
        <v>Jessica Ruiz</v>
      </c>
      <c r="AA279" s="1" t="str">
        <f t="shared" si="51"/>
        <v>Before Time</v>
      </c>
      <c r="AB279" t="str">
        <f t="shared" si="52"/>
        <v>Apr</v>
      </c>
      <c r="AC279" s="9">
        <f t="shared" si="53"/>
        <v>2023</v>
      </c>
      <c r="AD279" t="str">
        <f t="shared" si="54"/>
        <v>rediffmail.com</v>
      </c>
    </row>
    <row r="280" spans="1:30" x14ac:dyDescent="0.3">
      <c r="A280" t="s">
        <v>31</v>
      </c>
      <c r="B280" t="s">
        <v>131</v>
      </c>
      <c r="C280" t="s">
        <v>213</v>
      </c>
      <c r="D280">
        <v>44</v>
      </c>
      <c r="E280" t="s">
        <v>289</v>
      </c>
      <c r="F280" t="s">
        <v>296</v>
      </c>
      <c r="G280" t="s">
        <v>312</v>
      </c>
      <c r="H280" t="s">
        <v>412</v>
      </c>
      <c r="I280" t="s">
        <v>777</v>
      </c>
      <c r="J280" s="1">
        <v>45422</v>
      </c>
      <c r="K280" t="s">
        <v>1277</v>
      </c>
      <c r="L280" t="s">
        <v>1520</v>
      </c>
      <c r="M280">
        <v>62.42</v>
      </c>
      <c r="N280">
        <v>4</v>
      </c>
      <c r="O280" t="s">
        <v>1548</v>
      </c>
      <c r="P280">
        <v>1</v>
      </c>
      <c r="Q280">
        <v>67</v>
      </c>
      <c r="R280" s="1">
        <v>45426</v>
      </c>
      <c r="S280" t="s">
        <v>1828</v>
      </c>
      <c r="T280">
        <f t="shared" si="44"/>
        <v>4</v>
      </c>
      <c r="U280">
        <f t="shared" si="45"/>
        <v>249.68</v>
      </c>
      <c r="V280">
        <f t="shared" si="46"/>
        <v>316.68</v>
      </c>
      <c r="W280">
        <f t="shared" si="47"/>
        <v>0.15</v>
      </c>
      <c r="X280">
        <f t="shared" si="48"/>
        <v>37.451999999999998</v>
      </c>
      <c r="Y280">
        <f t="shared" si="49"/>
        <v>279.22800000000001</v>
      </c>
      <c r="Z280" t="str">
        <f t="shared" si="50"/>
        <v>Amy Reid</v>
      </c>
      <c r="AA280" s="1" t="str">
        <f t="shared" si="51"/>
        <v>Late</v>
      </c>
      <c r="AB280" t="str">
        <f t="shared" si="52"/>
        <v>May</v>
      </c>
      <c r="AC280" s="9">
        <f t="shared" si="53"/>
        <v>2024</v>
      </c>
      <c r="AD280" t="str">
        <f t="shared" si="54"/>
        <v>rediffmail.com</v>
      </c>
    </row>
    <row r="281" spans="1:30" x14ac:dyDescent="0.3">
      <c r="A281" t="s">
        <v>19</v>
      </c>
      <c r="B281" t="s">
        <v>119</v>
      </c>
      <c r="C281" t="s">
        <v>154</v>
      </c>
      <c r="D281">
        <v>53</v>
      </c>
      <c r="E281" t="s">
        <v>289</v>
      </c>
      <c r="F281" t="s">
        <v>292</v>
      </c>
      <c r="G281" t="s">
        <v>300</v>
      </c>
      <c r="H281" t="s">
        <v>400</v>
      </c>
      <c r="I281" t="s">
        <v>778</v>
      </c>
      <c r="J281" s="1">
        <v>45186</v>
      </c>
      <c r="K281" t="s">
        <v>1278</v>
      </c>
      <c r="L281" t="s">
        <v>1507</v>
      </c>
      <c r="M281">
        <v>257.06</v>
      </c>
      <c r="N281">
        <v>1</v>
      </c>
      <c r="O281" t="s">
        <v>1550</v>
      </c>
      <c r="P281">
        <v>5</v>
      </c>
      <c r="Q281">
        <v>64</v>
      </c>
      <c r="R281" s="1">
        <v>45188</v>
      </c>
      <c r="S281" t="s">
        <v>1829</v>
      </c>
      <c r="T281">
        <f t="shared" si="44"/>
        <v>2</v>
      </c>
      <c r="U281">
        <f t="shared" si="45"/>
        <v>257.06</v>
      </c>
      <c r="V281">
        <f t="shared" si="46"/>
        <v>321.06</v>
      </c>
      <c r="W281">
        <f t="shared" si="47"/>
        <v>0.2</v>
      </c>
      <c r="X281">
        <f t="shared" si="48"/>
        <v>51.412000000000006</v>
      </c>
      <c r="Y281">
        <f t="shared" si="49"/>
        <v>269.64800000000002</v>
      </c>
      <c r="Z281" t="str">
        <f t="shared" si="50"/>
        <v>Anthony Thomas</v>
      </c>
      <c r="AA281" s="1" t="str">
        <f t="shared" si="51"/>
        <v>Before Time</v>
      </c>
      <c r="AB281" t="str">
        <f t="shared" si="52"/>
        <v>Sep</v>
      </c>
      <c r="AC281" s="9">
        <f t="shared" si="53"/>
        <v>2023</v>
      </c>
      <c r="AD281" t="str">
        <f t="shared" si="54"/>
        <v>rediffmail.com</v>
      </c>
    </row>
    <row r="282" spans="1:30" x14ac:dyDescent="0.3">
      <c r="A282" t="s">
        <v>74</v>
      </c>
      <c r="B282" t="s">
        <v>167</v>
      </c>
      <c r="C282" t="s">
        <v>252</v>
      </c>
      <c r="D282">
        <v>33</v>
      </c>
      <c r="E282" t="s">
        <v>290</v>
      </c>
      <c r="F282" t="s">
        <v>297</v>
      </c>
      <c r="G282" t="s">
        <v>355</v>
      </c>
      <c r="H282" t="s">
        <v>455</v>
      </c>
      <c r="I282" t="s">
        <v>779</v>
      </c>
      <c r="J282" s="1">
        <v>45677</v>
      </c>
      <c r="K282" t="s">
        <v>1279</v>
      </c>
      <c r="L282" t="s">
        <v>1511</v>
      </c>
      <c r="M282">
        <v>272.51</v>
      </c>
      <c r="N282">
        <v>4</v>
      </c>
      <c r="O282" t="s">
        <v>1550</v>
      </c>
      <c r="P282">
        <v>6</v>
      </c>
      <c r="Q282">
        <v>39</v>
      </c>
      <c r="R282" s="1">
        <v>45679</v>
      </c>
      <c r="S282" t="s">
        <v>1830</v>
      </c>
      <c r="T282">
        <f t="shared" si="44"/>
        <v>2</v>
      </c>
      <c r="U282">
        <f t="shared" si="45"/>
        <v>1090.04</v>
      </c>
      <c r="V282">
        <f t="shared" si="46"/>
        <v>1129.04</v>
      </c>
      <c r="W282">
        <f t="shared" si="47"/>
        <v>0.2</v>
      </c>
      <c r="X282">
        <f t="shared" si="48"/>
        <v>218.00800000000001</v>
      </c>
      <c r="Y282">
        <f t="shared" si="49"/>
        <v>911.03199999999993</v>
      </c>
      <c r="Z282" t="str">
        <f t="shared" si="50"/>
        <v>Jodi Whitney</v>
      </c>
      <c r="AA282" s="1" t="str">
        <f t="shared" si="51"/>
        <v>Before Time</v>
      </c>
      <c r="AB282" t="str">
        <f t="shared" si="52"/>
        <v>Jan</v>
      </c>
      <c r="AC282" s="9">
        <f t="shared" si="53"/>
        <v>2025</v>
      </c>
      <c r="AD282" t="str">
        <f t="shared" si="54"/>
        <v>yahoo.com</v>
      </c>
    </row>
    <row r="283" spans="1:30" x14ac:dyDescent="0.3">
      <c r="A283" t="s">
        <v>41</v>
      </c>
      <c r="B283" t="s">
        <v>122</v>
      </c>
      <c r="C283" t="s">
        <v>222</v>
      </c>
      <c r="D283">
        <v>52</v>
      </c>
      <c r="E283" t="s">
        <v>290</v>
      </c>
      <c r="F283" t="s">
        <v>292</v>
      </c>
      <c r="G283" t="s">
        <v>322</v>
      </c>
      <c r="H283" t="s">
        <v>422</v>
      </c>
      <c r="I283" t="s">
        <v>780</v>
      </c>
      <c r="J283" s="1">
        <v>45242</v>
      </c>
      <c r="K283" t="s">
        <v>1280</v>
      </c>
      <c r="L283" t="s">
        <v>1536</v>
      </c>
      <c r="M283">
        <v>403.03</v>
      </c>
      <c r="N283">
        <v>2</v>
      </c>
      <c r="O283" t="s">
        <v>2047</v>
      </c>
      <c r="P283">
        <v>4</v>
      </c>
      <c r="Q283">
        <v>70</v>
      </c>
      <c r="R283" s="1">
        <v>45246</v>
      </c>
      <c r="S283" t="s">
        <v>1831</v>
      </c>
      <c r="T283">
        <f t="shared" si="44"/>
        <v>4</v>
      </c>
      <c r="U283">
        <f t="shared" si="45"/>
        <v>806.06</v>
      </c>
      <c r="V283">
        <f t="shared" si="46"/>
        <v>876.06</v>
      </c>
      <c r="W283">
        <f t="shared" si="47"/>
        <v>0.08</v>
      </c>
      <c r="X283">
        <f t="shared" si="48"/>
        <v>64.484799999999993</v>
      </c>
      <c r="Y283">
        <f t="shared" si="49"/>
        <v>811.5752</v>
      </c>
      <c r="Z283" t="str">
        <f t="shared" si="50"/>
        <v>Angela Evans</v>
      </c>
      <c r="AA283" s="1" t="str">
        <f t="shared" si="51"/>
        <v>In Time</v>
      </c>
      <c r="AB283" t="str">
        <f t="shared" si="52"/>
        <v>Nov</v>
      </c>
      <c r="AC283" s="9">
        <f t="shared" si="53"/>
        <v>2023</v>
      </c>
      <c r="AD283" t="str">
        <f t="shared" si="54"/>
        <v>outlook.com</v>
      </c>
    </row>
    <row r="284" spans="1:30" x14ac:dyDescent="0.3">
      <c r="A284" t="s">
        <v>43</v>
      </c>
      <c r="B284" t="s">
        <v>141</v>
      </c>
      <c r="C284" t="s">
        <v>224</v>
      </c>
      <c r="D284">
        <v>19</v>
      </c>
      <c r="E284" t="s">
        <v>289</v>
      </c>
      <c r="F284" t="s">
        <v>295</v>
      </c>
      <c r="G284" t="s">
        <v>324</v>
      </c>
      <c r="H284" t="s">
        <v>424</v>
      </c>
      <c r="I284" t="s">
        <v>803</v>
      </c>
      <c r="J284" s="1">
        <v>45201</v>
      </c>
      <c r="K284" t="s">
        <v>1303</v>
      </c>
      <c r="L284" t="s">
        <v>1514</v>
      </c>
      <c r="M284">
        <v>461.07</v>
      </c>
      <c r="N284">
        <v>3</v>
      </c>
      <c r="O284" t="s">
        <v>1549</v>
      </c>
      <c r="P284">
        <v>1</v>
      </c>
      <c r="Q284">
        <v>61</v>
      </c>
      <c r="R284" s="1">
        <v>45202</v>
      </c>
      <c r="S284" t="s">
        <v>1854</v>
      </c>
      <c r="T284">
        <f t="shared" si="44"/>
        <v>1</v>
      </c>
      <c r="U284">
        <f t="shared" si="45"/>
        <v>1383.21</v>
      </c>
      <c r="V284">
        <f t="shared" si="46"/>
        <v>1444.21</v>
      </c>
      <c r="W284">
        <f t="shared" si="47"/>
        <v>0.1</v>
      </c>
      <c r="X284">
        <f t="shared" si="48"/>
        <v>138.321</v>
      </c>
      <c r="Y284">
        <f t="shared" si="49"/>
        <v>1305.8890000000001</v>
      </c>
      <c r="Z284" t="str">
        <f t="shared" si="50"/>
        <v>Jessica Ruiz</v>
      </c>
      <c r="AA284" s="1" t="str">
        <f t="shared" si="51"/>
        <v>In Time</v>
      </c>
      <c r="AB284" t="str">
        <f t="shared" si="52"/>
        <v>Oct</v>
      </c>
      <c r="AC284" s="9">
        <f t="shared" si="53"/>
        <v>2023</v>
      </c>
      <c r="AD284" t="str">
        <f t="shared" si="54"/>
        <v>rediffmail.com</v>
      </c>
    </row>
    <row r="285" spans="1:30" x14ac:dyDescent="0.3">
      <c r="A285" t="s">
        <v>110</v>
      </c>
      <c r="B285" t="s">
        <v>195</v>
      </c>
      <c r="C285" t="s">
        <v>200</v>
      </c>
      <c r="D285">
        <v>50</v>
      </c>
      <c r="E285" t="s">
        <v>290</v>
      </c>
      <c r="F285" t="s">
        <v>297</v>
      </c>
      <c r="G285" t="s">
        <v>391</v>
      </c>
      <c r="H285" t="s">
        <v>491</v>
      </c>
      <c r="I285" t="s">
        <v>878</v>
      </c>
      <c r="J285" s="1">
        <v>45522</v>
      </c>
      <c r="K285" t="s">
        <v>1378</v>
      </c>
      <c r="L285" t="s">
        <v>1499</v>
      </c>
      <c r="M285">
        <v>441.03</v>
      </c>
      <c r="N285">
        <v>3</v>
      </c>
      <c r="O285" t="s">
        <v>1550</v>
      </c>
      <c r="P285">
        <v>4</v>
      </c>
      <c r="Q285">
        <v>40</v>
      </c>
      <c r="R285" s="1">
        <v>45528</v>
      </c>
      <c r="S285" t="s">
        <v>1929</v>
      </c>
      <c r="T285">
        <f t="shared" si="44"/>
        <v>6</v>
      </c>
      <c r="U285">
        <f t="shared" si="45"/>
        <v>1323.09</v>
      </c>
      <c r="V285">
        <f t="shared" si="46"/>
        <v>1363.09</v>
      </c>
      <c r="W285">
        <f t="shared" si="47"/>
        <v>0.2</v>
      </c>
      <c r="X285">
        <f t="shared" si="48"/>
        <v>264.61799999999999</v>
      </c>
      <c r="Y285">
        <f t="shared" si="49"/>
        <v>1098.472</v>
      </c>
      <c r="Z285" t="str">
        <f t="shared" si="50"/>
        <v>Brendan Kelly</v>
      </c>
      <c r="AA285" s="1" t="str">
        <f t="shared" si="51"/>
        <v>Late</v>
      </c>
      <c r="AB285" t="str">
        <f t="shared" si="52"/>
        <v>Aug</v>
      </c>
      <c r="AC285" s="9">
        <f t="shared" si="53"/>
        <v>2024</v>
      </c>
      <c r="AD285" t="str">
        <f t="shared" si="54"/>
        <v>rediffmail.com</v>
      </c>
    </row>
    <row r="286" spans="1:30" x14ac:dyDescent="0.3">
      <c r="A286" t="s">
        <v>30</v>
      </c>
      <c r="B286" t="s">
        <v>130</v>
      </c>
      <c r="C286" t="s">
        <v>212</v>
      </c>
      <c r="D286">
        <v>25</v>
      </c>
      <c r="E286" t="s">
        <v>290</v>
      </c>
      <c r="F286" t="s">
        <v>294</v>
      </c>
      <c r="G286" t="s">
        <v>311</v>
      </c>
      <c r="H286" t="s">
        <v>411</v>
      </c>
      <c r="I286" t="s">
        <v>783</v>
      </c>
      <c r="J286" s="1">
        <v>45090</v>
      </c>
      <c r="K286" t="s">
        <v>1283</v>
      </c>
      <c r="L286" t="s">
        <v>1508</v>
      </c>
      <c r="M286">
        <v>175.93</v>
      </c>
      <c r="N286">
        <v>4</v>
      </c>
      <c r="O286" t="s">
        <v>1550</v>
      </c>
      <c r="P286">
        <v>6</v>
      </c>
      <c r="Q286">
        <v>45</v>
      </c>
      <c r="R286" s="1">
        <v>45097</v>
      </c>
      <c r="S286" t="s">
        <v>1834</v>
      </c>
      <c r="T286">
        <f t="shared" si="44"/>
        <v>7</v>
      </c>
      <c r="U286">
        <f t="shared" si="45"/>
        <v>703.72</v>
      </c>
      <c r="V286">
        <f t="shared" si="46"/>
        <v>748.72</v>
      </c>
      <c r="W286">
        <f t="shared" si="47"/>
        <v>0.2</v>
      </c>
      <c r="X286">
        <f t="shared" si="48"/>
        <v>140.744</v>
      </c>
      <c r="Y286">
        <f t="shared" si="49"/>
        <v>607.976</v>
      </c>
      <c r="Z286" t="str">
        <f t="shared" si="50"/>
        <v>Kara Brennan</v>
      </c>
      <c r="AA286" s="1" t="str">
        <f t="shared" si="51"/>
        <v>Late</v>
      </c>
      <c r="AB286" t="str">
        <f t="shared" si="52"/>
        <v>Jun</v>
      </c>
      <c r="AC286" s="9">
        <f t="shared" si="53"/>
        <v>2023</v>
      </c>
      <c r="AD286" t="str">
        <f t="shared" si="54"/>
        <v>outlook.com</v>
      </c>
    </row>
    <row r="287" spans="1:30" x14ac:dyDescent="0.3">
      <c r="A287" t="s">
        <v>43</v>
      </c>
      <c r="B287" t="s">
        <v>141</v>
      </c>
      <c r="C287" t="s">
        <v>224</v>
      </c>
      <c r="D287">
        <v>19</v>
      </c>
      <c r="E287" t="s">
        <v>289</v>
      </c>
      <c r="F287" t="s">
        <v>295</v>
      </c>
      <c r="G287" t="s">
        <v>324</v>
      </c>
      <c r="H287" t="s">
        <v>424</v>
      </c>
      <c r="I287" t="s">
        <v>812</v>
      </c>
      <c r="J287" s="1">
        <v>45049</v>
      </c>
      <c r="K287" t="s">
        <v>1312</v>
      </c>
      <c r="L287" t="s">
        <v>1530</v>
      </c>
      <c r="M287">
        <v>369.03</v>
      </c>
      <c r="N287">
        <v>3</v>
      </c>
      <c r="O287" t="s">
        <v>2047</v>
      </c>
      <c r="P287">
        <v>6</v>
      </c>
      <c r="Q287">
        <v>50</v>
      </c>
      <c r="R287" s="1">
        <v>45052</v>
      </c>
      <c r="S287" t="s">
        <v>1863</v>
      </c>
      <c r="T287">
        <f t="shared" si="44"/>
        <v>3</v>
      </c>
      <c r="U287">
        <f t="shared" si="45"/>
        <v>1107.0899999999999</v>
      </c>
      <c r="V287">
        <f t="shared" si="46"/>
        <v>1157.0899999999999</v>
      </c>
      <c r="W287">
        <f t="shared" si="47"/>
        <v>0.08</v>
      </c>
      <c r="X287">
        <f t="shared" si="48"/>
        <v>88.5672</v>
      </c>
      <c r="Y287">
        <f t="shared" si="49"/>
        <v>1068.5228</v>
      </c>
      <c r="Z287" t="str">
        <f t="shared" si="50"/>
        <v>Jessica Ruiz</v>
      </c>
      <c r="AA287" s="1" t="str">
        <f t="shared" si="51"/>
        <v>Before Time</v>
      </c>
      <c r="AB287" t="str">
        <f t="shared" si="52"/>
        <v>May</v>
      </c>
      <c r="AC287" s="9">
        <f t="shared" si="53"/>
        <v>2023</v>
      </c>
      <c r="AD287" t="str">
        <f t="shared" si="54"/>
        <v>rediffmail.com</v>
      </c>
    </row>
    <row r="288" spans="1:30" x14ac:dyDescent="0.3">
      <c r="A288" t="s">
        <v>87</v>
      </c>
      <c r="B288" t="s">
        <v>177</v>
      </c>
      <c r="C288" t="s">
        <v>264</v>
      </c>
      <c r="D288">
        <v>32</v>
      </c>
      <c r="E288" t="s">
        <v>289</v>
      </c>
      <c r="F288" t="s">
        <v>291</v>
      </c>
      <c r="G288" t="s">
        <v>368</v>
      </c>
      <c r="H288" t="s">
        <v>468</v>
      </c>
      <c r="I288" t="s">
        <v>785</v>
      </c>
      <c r="J288" s="1">
        <v>45676</v>
      </c>
      <c r="K288" t="s">
        <v>1285</v>
      </c>
      <c r="L288" t="s">
        <v>1525</v>
      </c>
      <c r="M288">
        <v>481.48</v>
      </c>
      <c r="N288">
        <v>2</v>
      </c>
      <c r="O288" t="s">
        <v>1550</v>
      </c>
      <c r="P288">
        <v>3</v>
      </c>
      <c r="Q288">
        <v>58</v>
      </c>
      <c r="R288" s="1">
        <v>45683</v>
      </c>
      <c r="S288" t="s">
        <v>1836</v>
      </c>
      <c r="T288">
        <f t="shared" si="44"/>
        <v>7</v>
      </c>
      <c r="U288">
        <f t="shared" si="45"/>
        <v>962.96</v>
      </c>
      <c r="V288">
        <f t="shared" si="46"/>
        <v>1020.96</v>
      </c>
      <c r="W288">
        <f t="shared" si="47"/>
        <v>0.2</v>
      </c>
      <c r="X288">
        <f t="shared" si="48"/>
        <v>192.59200000000001</v>
      </c>
      <c r="Y288">
        <f t="shared" si="49"/>
        <v>828.36800000000005</v>
      </c>
      <c r="Z288" t="str">
        <f t="shared" si="50"/>
        <v>Bruce Allen</v>
      </c>
      <c r="AA288" s="1" t="str">
        <f t="shared" si="51"/>
        <v>Late</v>
      </c>
      <c r="AB288" t="str">
        <f t="shared" si="52"/>
        <v>Jan</v>
      </c>
      <c r="AC288" s="9">
        <f t="shared" si="53"/>
        <v>2025</v>
      </c>
      <c r="AD288" t="str">
        <f t="shared" si="54"/>
        <v>rediffmail.com</v>
      </c>
    </row>
    <row r="289" spans="1:30" x14ac:dyDescent="0.3">
      <c r="A289" t="s">
        <v>102</v>
      </c>
      <c r="B289" t="s">
        <v>190</v>
      </c>
      <c r="C289" t="s">
        <v>276</v>
      </c>
      <c r="D289">
        <v>49</v>
      </c>
      <c r="E289" t="s">
        <v>288</v>
      </c>
      <c r="F289" t="s">
        <v>292</v>
      </c>
      <c r="G289" t="s">
        <v>383</v>
      </c>
      <c r="H289" t="s">
        <v>483</v>
      </c>
      <c r="I289" t="s">
        <v>786</v>
      </c>
      <c r="J289" s="1">
        <v>45092</v>
      </c>
      <c r="K289" t="s">
        <v>1286</v>
      </c>
      <c r="L289" t="s">
        <v>1534</v>
      </c>
      <c r="M289">
        <v>425.59</v>
      </c>
      <c r="N289">
        <v>3</v>
      </c>
      <c r="O289" t="s">
        <v>2047</v>
      </c>
      <c r="P289">
        <v>6</v>
      </c>
      <c r="Q289">
        <v>55</v>
      </c>
      <c r="R289" s="1">
        <v>45099</v>
      </c>
      <c r="S289" t="s">
        <v>1837</v>
      </c>
      <c r="T289">
        <f t="shared" si="44"/>
        <v>7</v>
      </c>
      <c r="U289">
        <f t="shared" si="45"/>
        <v>1276.77</v>
      </c>
      <c r="V289">
        <f t="shared" si="46"/>
        <v>1331.77</v>
      </c>
      <c r="W289">
        <f t="shared" si="47"/>
        <v>0.08</v>
      </c>
      <c r="X289">
        <f t="shared" si="48"/>
        <v>102.1416</v>
      </c>
      <c r="Y289">
        <f t="shared" si="49"/>
        <v>1229.6284000000001</v>
      </c>
      <c r="Z289" t="str">
        <f t="shared" si="50"/>
        <v>Natasha Michael</v>
      </c>
      <c r="AA289" s="1" t="str">
        <f t="shared" si="51"/>
        <v>Late</v>
      </c>
      <c r="AB289" t="str">
        <f t="shared" si="52"/>
        <v>Jun</v>
      </c>
      <c r="AC289" s="9">
        <f t="shared" si="53"/>
        <v>2023</v>
      </c>
      <c r="AD289" t="str">
        <f t="shared" si="54"/>
        <v>gmail.com</v>
      </c>
    </row>
    <row r="290" spans="1:30" x14ac:dyDescent="0.3">
      <c r="A290" t="s">
        <v>52</v>
      </c>
      <c r="B290" t="s">
        <v>150</v>
      </c>
      <c r="C290" t="s">
        <v>233</v>
      </c>
      <c r="D290">
        <v>23</v>
      </c>
      <c r="E290" t="s">
        <v>288</v>
      </c>
      <c r="F290" t="s">
        <v>291</v>
      </c>
      <c r="G290" t="s">
        <v>333</v>
      </c>
      <c r="H290" t="s">
        <v>433</v>
      </c>
      <c r="I290" t="s">
        <v>787</v>
      </c>
      <c r="J290" s="1">
        <v>45659</v>
      </c>
      <c r="K290" t="s">
        <v>1287</v>
      </c>
      <c r="L290" t="s">
        <v>1546</v>
      </c>
      <c r="M290">
        <v>33.49</v>
      </c>
      <c r="N290">
        <v>2</v>
      </c>
      <c r="O290" t="s">
        <v>2047</v>
      </c>
      <c r="P290">
        <v>2</v>
      </c>
      <c r="Q290">
        <v>45</v>
      </c>
      <c r="R290" s="1">
        <v>45660</v>
      </c>
      <c r="S290" t="s">
        <v>1838</v>
      </c>
      <c r="T290">
        <f t="shared" si="44"/>
        <v>1</v>
      </c>
      <c r="U290">
        <f t="shared" si="45"/>
        <v>66.98</v>
      </c>
      <c r="V290">
        <f t="shared" si="46"/>
        <v>111.98</v>
      </c>
      <c r="W290">
        <f t="shared" si="47"/>
        <v>0.08</v>
      </c>
      <c r="X290">
        <f t="shared" si="48"/>
        <v>5.3584000000000005</v>
      </c>
      <c r="Y290">
        <f t="shared" si="49"/>
        <v>106.6216</v>
      </c>
      <c r="Z290" t="str">
        <f t="shared" si="50"/>
        <v>Julie Meyer</v>
      </c>
      <c r="AA290" s="1" t="str">
        <f t="shared" si="51"/>
        <v>Before Time</v>
      </c>
      <c r="AB290" t="str">
        <f t="shared" si="52"/>
        <v>Jan</v>
      </c>
      <c r="AC290" s="9">
        <f t="shared" si="53"/>
        <v>2025</v>
      </c>
      <c r="AD290" t="str">
        <f t="shared" si="54"/>
        <v>yahoo.com</v>
      </c>
    </row>
    <row r="291" spans="1:30" x14ac:dyDescent="0.3">
      <c r="A291" t="s">
        <v>68</v>
      </c>
      <c r="B291" t="s">
        <v>162</v>
      </c>
      <c r="C291" t="s">
        <v>232</v>
      </c>
      <c r="D291">
        <v>39</v>
      </c>
      <c r="E291" t="s">
        <v>290</v>
      </c>
      <c r="F291" t="s">
        <v>292</v>
      </c>
      <c r="G291" t="s">
        <v>349</v>
      </c>
      <c r="H291" t="s">
        <v>449</v>
      </c>
      <c r="I291" t="s">
        <v>788</v>
      </c>
      <c r="J291" s="1">
        <v>45024</v>
      </c>
      <c r="K291" t="s">
        <v>1288</v>
      </c>
      <c r="L291" t="s">
        <v>1526</v>
      </c>
      <c r="M291">
        <v>405</v>
      </c>
      <c r="N291">
        <v>4</v>
      </c>
      <c r="O291" t="s">
        <v>1549</v>
      </c>
      <c r="P291">
        <v>7</v>
      </c>
      <c r="Q291">
        <v>70</v>
      </c>
      <c r="R291" s="1">
        <v>45029</v>
      </c>
      <c r="S291" t="s">
        <v>1839</v>
      </c>
      <c r="T291">
        <f t="shared" si="44"/>
        <v>5</v>
      </c>
      <c r="U291">
        <f t="shared" si="45"/>
        <v>1620</v>
      </c>
      <c r="V291">
        <f t="shared" si="46"/>
        <v>1690</v>
      </c>
      <c r="W291">
        <f t="shared" si="47"/>
        <v>0.1</v>
      </c>
      <c r="X291">
        <f t="shared" si="48"/>
        <v>162</v>
      </c>
      <c r="Y291">
        <f t="shared" si="49"/>
        <v>1528</v>
      </c>
      <c r="Z291" t="str">
        <f t="shared" si="50"/>
        <v>Mitchell Parker</v>
      </c>
      <c r="AA291" s="1" t="str">
        <f t="shared" si="51"/>
        <v>Before Time</v>
      </c>
      <c r="AB291" t="str">
        <f t="shared" si="52"/>
        <v>Apr</v>
      </c>
      <c r="AC291" s="9">
        <f t="shared" si="53"/>
        <v>2023</v>
      </c>
      <c r="AD291" t="str">
        <f t="shared" si="54"/>
        <v>yahoo.com</v>
      </c>
    </row>
    <row r="292" spans="1:30" x14ac:dyDescent="0.3">
      <c r="A292" t="s">
        <v>59</v>
      </c>
      <c r="B292" t="s">
        <v>156</v>
      </c>
      <c r="C292" t="s">
        <v>240</v>
      </c>
      <c r="D292">
        <v>70</v>
      </c>
      <c r="E292" t="s">
        <v>288</v>
      </c>
      <c r="F292" t="s">
        <v>291</v>
      </c>
      <c r="G292" t="s">
        <v>340</v>
      </c>
      <c r="H292" t="s">
        <v>440</v>
      </c>
      <c r="I292" t="s">
        <v>789</v>
      </c>
      <c r="J292" s="1">
        <v>45455</v>
      </c>
      <c r="K292" t="s">
        <v>1289</v>
      </c>
      <c r="L292" t="s">
        <v>1525</v>
      </c>
      <c r="M292">
        <v>481.48</v>
      </c>
      <c r="N292">
        <v>3</v>
      </c>
      <c r="O292" t="s">
        <v>1550</v>
      </c>
      <c r="P292">
        <v>5</v>
      </c>
      <c r="Q292">
        <v>49</v>
      </c>
      <c r="R292" s="1">
        <v>45462</v>
      </c>
      <c r="S292" t="s">
        <v>1840</v>
      </c>
      <c r="T292">
        <f t="shared" si="44"/>
        <v>7</v>
      </c>
      <c r="U292">
        <f t="shared" si="45"/>
        <v>1444.44</v>
      </c>
      <c r="V292">
        <f t="shared" si="46"/>
        <v>1493.44</v>
      </c>
      <c r="W292">
        <f t="shared" si="47"/>
        <v>0.2</v>
      </c>
      <c r="X292">
        <f t="shared" si="48"/>
        <v>288.88800000000003</v>
      </c>
      <c r="Y292">
        <f t="shared" si="49"/>
        <v>1204.5520000000001</v>
      </c>
      <c r="Z292" t="str">
        <f t="shared" si="50"/>
        <v>Alexandra Smith</v>
      </c>
      <c r="AA292" s="1" t="str">
        <f t="shared" si="51"/>
        <v>Late</v>
      </c>
      <c r="AB292" t="str">
        <f t="shared" si="52"/>
        <v>Jun</v>
      </c>
      <c r="AC292" s="9">
        <f t="shared" si="53"/>
        <v>2024</v>
      </c>
      <c r="AD292" t="str">
        <f t="shared" si="54"/>
        <v>rediffmail.com</v>
      </c>
    </row>
    <row r="293" spans="1:30" x14ac:dyDescent="0.3">
      <c r="A293" t="s">
        <v>58</v>
      </c>
      <c r="B293" t="s">
        <v>140</v>
      </c>
      <c r="C293" t="s">
        <v>239</v>
      </c>
      <c r="D293">
        <v>40</v>
      </c>
      <c r="E293" t="s">
        <v>290</v>
      </c>
      <c r="F293" t="s">
        <v>297</v>
      </c>
      <c r="G293" t="s">
        <v>339</v>
      </c>
      <c r="H293" t="s">
        <v>439</v>
      </c>
      <c r="I293" t="s">
        <v>790</v>
      </c>
      <c r="J293" s="1">
        <v>45058</v>
      </c>
      <c r="K293" t="s">
        <v>1290</v>
      </c>
      <c r="L293" t="s">
        <v>1541</v>
      </c>
      <c r="M293">
        <v>133.62</v>
      </c>
      <c r="N293">
        <v>2</v>
      </c>
      <c r="O293" t="s">
        <v>1549</v>
      </c>
      <c r="P293">
        <v>4</v>
      </c>
      <c r="Q293">
        <v>36</v>
      </c>
      <c r="R293" s="1">
        <v>45059</v>
      </c>
      <c r="S293" t="s">
        <v>1841</v>
      </c>
      <c r="T293">
        <f t="shared" si="44"/>
        <v>1</v>
      </c>
      <c r="U293">
        <f t="shared" si="45"/>
        <v>267.24</v>
      </c>
      <c r="V293">
        <f t="shared" si="46"/>
        <v>303.24</v>
      </c>
      <c r="W293">
        <f t="shared" si="47"/>
        <v>0.1</v>
      </c>
      <c r="X293">
        <f t="shared" si="48"/>
        <v>26.724000000000004</v>
      </c>
      <c r="Y293">
        <f t="shared" si="49"/>
        <v>276.51600000000002</v>
      </c>
      <c r="Z293" t="str">
        <f t="shared" si="50"/>
        <v>Jason Lopez</v>
      </c>
      <c r="AA293" s="1" t="str">
        <f t="shared" si="51"/>
        <v>Before Time</v>
      </c>
      <c r="AB293" t="str">
        <f t="shared" si="52"/>
        <v>May</v>
      </c>
      <c r="AC293" s="9">
        <f t="shared" si="53"/>
        <v>2023</v>
      </c>
      <c r="AD293" t="str">
        <f t="shared" si="54"/>
        <v>outlook.com</v>
      </c>
    </row>
    <row r="294" spans="1:30" x14ac:dyDescent="0.3">
      <c r="A294" t="s">
        <v>90</v>
      </c>
      <c r="B294" t="s">
        <v>139</v>
      </c>
      <c r="C294" t="s">
        <v>266</v>
      </c>
      <c r="D294">
        <v>55</v>
      </c>
      <c r="E294" t="s">
        <v>289</v>
      </c>
      <c r="F294" t="s">
        <v>293</v>
      </c>
      <c r="G294" t="s">
        <v>371</v>
      </c>
      <c r="H294" t="s">
        <v>471</v>
      </c>
      <c r="I294" t="s">
        <v>805</v>
      </c>
      <c r="J294" s="1">
        <v>45414</v>
      </c>
      <c r="K294" t="s">
        <v>1305</v>
      </c>
      <c r="L294" t="s">
        <v>1520</v>
      </c>
      <c r="M294">
        <v>62.42</v>
      </c>
      <c r="N294">
        <v>4</v>
      </c>
      <c r="O294" t="s">
        <v>1549</v>
      </c>
      <c r="P294">
        <v>6</v>
      </c>
      <c r="Q294">
        <v>43</v>
      </c>
      <c r="R294" s="1">
        <v>45420</v>
      </c>
      <c r="S294" t="s">
        <v>1856</v>
      </c>
      <c r="T294">
        <f t="shared" si="44"/>
        <v>6</v>
      </c>
      <c r="U294">
        <f t="shared" si="45"/>
        <v>249.68</v>
      </c>
      <c r="V294">
        <f t="shared" si="46"/>
        <v>292.68</v>
      </c>
      <c r="W294">
        <f t="shared" si="47"/>
        <v>0.1</v>
      </c>
      <c r="X294">
        <f t="shared" si="48"/>
        <v>24.968000000000004</v>
      </c>
      <c r="Y294">
        <f t="shared" si="49"/>
        <v>267.71199999999999</v>
      </c>
      <c r="Z294" t="str">
        <f t="shared" si="50"/>
        <v>Mark Summers</v>
      </c>
      <c r="AA294" s="1" t="str">
        <f t="shared" si="51"/>
        <v>In Time</v>
      </c>
      <c r="AB294" t="str">
        <f t="shared" si="52"/>
        <v>May</v>
      </c>
      <c r="AC294" s="9">
        <f t="shared" si="53"/>
        <v>2024</v>
      </c>
      <c r="AD294" t="str">
        <f t="shared" si="54"/>
        <v>outlook.com</v>
      </c>
    </row>
    <row r="295" spans="1:30" x14ac:dyDescent="0.3">
      <c r="A295" t="s">
        <v>105</v>
      </c>
      <c r="B295" t="s">
        <v>192</v>
      </c>
      <c r="C295" t="s">
        <v>279</v>
      </c>
      <c r="D295">
        <v>59</v>
      </c>
      <c r="E295" t="s">
        <v>290</v>
      </c>
      <c r="F295" t="s">
        <v>297</v>
      </c>
      <c r="G295" t="s">
        <v>386</v>
      </c>
      <c r="H295" t="s">
        <v>486</v>
      </c>
      <c r="I295" t="s">
        <v>792</v>
      </c>
      <c r="J295" s="1">
        <v>45527</v>
      </c>
      <c r="K295" t="s">
        <v>1292</v>
      </c>
      <c r="L295" t="s">
        <v>1518</v>
      </c>
      <c r="M295">
        <v>496.59</v>
      </c>
      <c r="N295">
        <v>2</v>
      </c>
      <c r="O295" t="s">
        <v>2047</v>
      </c>
      <c r="P295">
        <v>3</v>
      </c>
      <c r="Q295">
        <v>55</v>
      </c>
      <c r="R295" s="1">
        <v>45528</v>
      </c>
      <c r="S295" t="s">
        <v>1843</v>
      </c>
      <c r="T295">
        <f t="shared" si="44"/>
        <v>1</v>
      </c>
      <c r="U295">
        <f t="shared" si="45"/>
        <v>993.18</v>
      </c>
      <c r="V295">
        <f t="shared" si="46"/>
        <v>1048.1799999999998</v>
      </c>
      <c r="W295">
        <f t="shared" si="47"/>
        <v>0.08</v>
      </c>
      <c r="X295">
        <f t="shared" si="48"/>
        <v>79.454399999999993</v>
      </c>
      <c r="Y295">
        <f t="shared" si="49"/>
        <v>968.72559999999987</v>
      </c>
      <c r="Z295" t="str">
        <f t="shared" si="50"/>
        <v>Mike Carter</v>
      </c>
      <c r="AA295" s="1" t="str">
        <f t="shared" si="51"/>
        <v>Before Time</v>
      </c>
      <c r="AB295" t="str">
        <f t="shared" si="52"/>
        <v>Aug</v>
      </c>
      <c r="AC295" s="9">
        <f t="shared" si="53"/>
        <v>2024</v>
      </c>
      <c r="AD295" t="str">
        <f t="shared" si="54"/>
        <v>rediffmail.com</v>
      </c>
    </row>
    <row r="296" spans="1:30" x14ac:dyDescent="0.3">
      <c r="A296" t="s">
        <v>71</v>
      </c>
      <c r="B296" t="s">
        <v>165</v>
      </c>
      <c r="C296" t="s">
        <v>249</v>
      </c>
      <c r="D296">
        <v>42</v>
      </c>
      <c r="E296" t="s">
        <v>290</v>
      </c>
      <c r="F296" t="s">
        <v>295</v>
      </c>
      <c r="G296" t="s">
        <v>352</v>
      </c>
      <c r="H296" t="s">
        <v>452</v>
      </c>
      <c r="I296" t="s">
        <v>793</v>
      </c>
      <c r="J296" s="1">
        <v>45233</v>
      </c>
      <c r="K296" t="s">
        <v>1293</v>
      </c>
      <c r="L296" t="s">
        <v>1528</v>
      </c>
      <c r="M296">
        <v>431.44</v>
      </c>
      <c r="N296">
        <v>4</v>
      </c>
      <c r="O296" t="s">
        <v>1547</v>
      </c>
      <c r="P296">
        <v>3</v>
      </c>
      <c r="Q296">
        <v>65</v>
      </c>
      <c r="R296" s="1">
        <v>45239</v>
      </c>
      <c r="S296" t="s">
        <v>1844</v>
      </c>
      <c r="T296">
        <f t="shared" si="44"/>
        <v>6</v>
      </c>
      <c r="U296">
        <f t="shared" si="45"/>
        <v>1725.76</v>
      </c>
      <c r="V296">
        <f t="shared" si="46"/>
        <v>1725.76</v>
      </c>
      <c r="W296">
        <f t="shared" si="47"/>
        <v>0</v>
      </c>
      <c r="X296">
        <f t="shared" si="48"/>
        <v>0</v>
      </c>
      <c r="Y296">
        <f t="shared" si="49"/>
        <v>1725.76</v>
      </c>
      <c r="Z296" t="str">
        <f t="shared" si="50"/>
        <v>Katherine Weber</v>
      </c>
      <c r="AA296" s="1" t="str">
        <f t="shared" si="51"/>
        <v>Late</v>
      </c>
      <c r="AB296" t="str">
        <f t="shared" si="52"/>
        <v>Nov</v>
      </c>
      <c r="AC296" s="9">
        <f t="shared" si="53"/>
        <v>2023</v>
      </c>
      <c r="AD296" t="str">
        <f t="shared" si="54"/>
        <v>outlook.com</v>
      </c>
    </row>
    <row r="297" spans="1:30" x14ac:dyDescent="0.3">
      <c r="A297" t="s">
        <v>57</v>
      </c>
      <c r="B297" t="s">
        <v>155</v>
      </c>
      <c r="C297" t="s">
        <v>238</v>
      </c>
      <c r="D297">
        <v>47</v>
      </c>
      <c r="E297" t="s">
        <v>289</v>
      </c>
      <c r="F297" t="s">
        <v>296</v>
      </c>
      <c r="G297" t="s">
        <v>338</v>
      </c>
      <c r="H297" t="s">
        <v>438</v>
      </c>
      <c r="I297" t="s">
        <v>794</v>
      </c>
      <c r="J297" s="1">
        <v>45513</v>
      </c>
      <c r="K297" t="s">
        <v>1294</v>
      </c>
      <c r="L297" t="s">
        <v>1540</v>
      </c>
      <c r="M297">
        <v>424.82</v>
      </c>
      <c r="N297">
        <v>2</v>
      </c>
      <c r="O297" t="s">
        <v>1547</v>
      </c>
      <c r="P297">
        <v>2</v>
      </c>
      <c r="Q297">
        <v>57</v>
      </c>
      <c r="R297" s="1">
        <v>45520</v>
      </c>
      <c r="S297" t="s">
        <v>1845</v>
      </c>
      <c r="T297">
        <f t="shared" si="44"/>
        <v>7</v>
      </c>
      <c r="U297">
        <f t="shared" si="45"/>
        <v>849.64</v>
      </c>
      <c r="V297">
        <f t="shared" si="46"/>
        <v>849.64</v>
      </c>
      <c r="W297">
        <f t="shared" si="47"/>
        <v>0</v>
      </c>
      <c r="X297">
        <f t="shared" si="48"/>
        <v>0</v>
      </c>
      <c r="Y297">
        <f t="shared" si="49"/>
        <v>849.64</v>
      </c>
      <c r="Z297" t="str">
        <f t="shared" si="50"/>
        <v>Aaron Thompson</v>
      </c>
      <c r="AA297" s="1" t="str">
        <f t="shared" si="51"/>
        <v>Late</v>
      </c>
      <c r="AB297" t="str">
        <f t="shared" si="52"/>
        <v>Aug</v>
      </c>
      <c r="AC297" s="9">
        <f t="shared" si="53"/>
        <v>2024</v>
      </c>
      <c r="AD297" t="str">
        <f t="shared" si="54"/>
        <v>gmail.com</v>
      </c>
    </row>
    <row r="298" spans="1:30" x14ac:dyDescent="0.3">
      <c r="A298" t="s">
        <v>90</v>
      </c>
      <c r="B298" t="s">
        <v>139</v>
      </c>
      <c r="C298" t="s">
        <v>266</v>
      </c>
      <c r="D298">
        <v>55</v>
      </c>
      <c r="E298" t="s">
        <v>289</v>
      </c>
      <c r="F298" t="s">
        <v>293</v>
      </c>
      <c r="G298" t="s">
        <v>371</v>
      </c>
      <c r="H298" t="s">
        <v>471</v>
      </c>
      <c r="I298" t="s">
        <v>810</v>
      </c>
      <c r="J298" s="1">
        <v>45567</v>
      </c>
      <c r="K298" t="s">
        <v>1310</v>
      </c>
      <c r="L298" t="s">
        <v>1519</v>
      </c>
      <c r="M298">
        <v>421.7</v>
      </c>
      <c r="N298">
        <v>3</v>
      </c>
      <c r="O298" t="s">
        <v>2047</v>
      </c>
      <c r="P298">
        <v>5</v>
      </c>
      <c r="Q298">
        <v>54</v>
      </c>
      <c r="R298" s="1">
        <v>45571</v>
      </c>
      <c r="S298" t="s">
        <v>1861</v>
      </c>
      <c r="T298">
        <f t="shared" si="44"/>
        <v>4</v>
      </c>
      <c r="U298">
        <f t="shared" si="45"/>
        <v>1265.0999999999999</v>
      </c>
      <c r="V298">
        <f t="shared" si="46"/>
        <v>1319.1</v>
      </c>
      <c r="W298">
        <f t="shared" si="47"/>
        <v>0.08</v>
      </c>
      <c r="X298">
        <f t="shared" si="48"/>
        <v>101.208</v>
      </c>
      <c r="Y298">
        <f t="shared" si="49"/>
        <v>1217.8919999999998</v>
      </c>
      <c r="Z298" t="str">
        <f t="shared" si="50"/>
        <v>Mark Summers</v>
      </c>
      <c r="AA298" s="1" t="str">
        <f t="shared" si="51"/>
        <v>Before Time</v>
      </c>
      <c r="AB298" t="str">
        <f t="shared" si="52"/>
        <v>Oct</v>
      </c>
      <c r="AC298" s="9">
        <f t="shared" si="53"/>
        <v>2024</v>
      </c>
      <c r="AD298" t="str">
        <f t="shared" si="54"/>
        <v>outlook.com</v>
      </c>
    </row>
    <row r="299" spans="1:30" x14ac:dyDescent="0.3">
      <c r="A299" t="s">
        <v>20</v>
      </c>
      <c r="B299" t="s">
        <v>120</v>
      </c>
      <c r="C299" t="s">
        <v>202</v>
      </c>
      <c r="D299">
        <v>55</v>
      </c>
      <c r="E299" t="s">
        <v>289</v>
      </c>
      <c r="F299" t="s">
        <v>293</v>
      </c>
      <c r="G299" t="s">
        <v>301</v>
      </c>
      <c r="H299" t="s">
        <v>401</v>
      </c>
      <c r="I299" t="s">
        <v>509</v>
      </c>
      <c r="J299" s="1">
        <v>45157</v>
      </c>
      <c r="K299" t="s">
        <v>1009</v>
      </c>
      <c r="L299" t="s">
        <v>1506</v>
      </c>
      <c r="M299">
        <v>372.62</v>
      </c>
      <c r="N299">
        <v>1</v>
      </c>
      <c r="O299" t="s">
        <v>1549</v>
      </c>
      <c r="P299">
        <v>5</v>
      </c>
      <c r="Q299">
        <v>45</v>
      </c>
      <c r="R299" s="1">
        <v>45164</v>
      </c>
      <c r="S299" t="s">
        <v>1561</v>
      </c>
      <c r="T299">
        <f t="shared" si="44"/>
        <v>7</v>
      </c>
      <c r="U299">
        <f t="shared" si="45"/>
        <v>372.62</v>
      </c>
      <c r="V299">
        <f t="shared" si="46"/>
        <v>417.62</v>
      </c>
      <c r="W299">
        <f t="shared" si="47"/>
        <v>0.1</v>
      </c>
      <c r="X299">
        <f t="shared" si="48"/>
        <v>37.262</v>
      </c>
      <c r="Y299">
        <f t="shared" si="49"/>
        <v>380.358</v>
      </c>
      <c r="Z299" t="str">
        <f t="shared" si="50"/>
        <v>Hannah Gutierrez</v>
      </c>
      <c r="AA299" s="1" t="str">
        <f t="shared" si="51"/>
        <v>Late</v>
      </c>
      <c r="AB299" t="str">
        <f t="shared" si="52"/>
        <v>Aug</v>
      </c>
      <c r="AC299" s="9">
        <f t="shared" si="53"/>
        <v>2023</v>
      </c>
      <c r="AD299" t="str">
        <f t="shared" si="54"/>
        <v>yahoo.com</v>
      </c>
    </row>
    <row r="300" spans="1:30" x14ac:dyDescent="0.3">
      <c r="A300" t="s">
        <v>110</v>
      </c>
      <c r="B300" t="s">
        <v>195</v>
      </c>
      <c r="C300" t="s">
        <v>200</v>
      </c>
      <c r="D300">
        <v>50</v>
      </c>
      <c r="E300" t="s">
        <v>290</v>
      </c>
      <c r="F300" t="s">
        <v>297</v>
      </c>
      <c r="G300" t="s">
        <v>391</v>
      </c>
      <c r="H300" t="s">
        <v>491</v>
      </c>
      <c r="I300" t="s">
        <v>894</v>
      </c>
      <c r="J300" s="1">
        <v>45557</v>
      </c>
      <c r="K300" t="s">
        <v>1394</v>
      </c>
      <c r="L300" t="s">
        <v>1512</v>
      </c>
      <c r="M300">
        <v>104.18</v>
      </c>
      <c r="N300">
        <v>1</v>
      </c>
      <c r="O300" t="s">
        <v>2047</v>
      </c>
      <c r="P300">
        <v>3</v>
      </c>
      <c r="Q300">
        <v>60</v>
      </c>
      <c r="R300" s="1">
        <v>45563</v>
      </c>
      <c r="S300" t="s">
        <v>1943</v>
      </c>
      <c r="T300">
        <f t="shared" si="44"/>
        <v>6</v>
      </c>
      <c r="U300">
        <f t="shared" si="45"/>
        <v>104.18</v>
      </c>
      <c r="V300">
        <f t="shared" si="46"/>
        <v>164.18</v>
      </c>
      <c r="W300">
        <f t="shared" si="47"/>
        <v>0.08</v>
      </c>
      <c r="X300">
        <f t="shared" si="48"/>
        <v>8.3344000000000005</v>
      </c>
      <c r="Y300">
        <f t="shared" si="49"/>
        <v>155.84560000000002</v>
      </c>
      <c r="Z300" t="str">
        <f t="shared" si="50"/>
        <v>Brendan Kelly</v>
      </c>
      <c r="AA300" s="1" t="str">
        <f t="shared" si="51"/>
        <v>Late</v>
      </c>
      <c r="AB300" t="str">
        <f t="shared" si="52"/>
        <v>Sep</v>
      </c>
      <c r="AC300" s="9">
        <f t="shared" si="53"/>
        <v>2024</v>
      </c>
      <c r="AD300" t="str">
        <f t="shared" si="54"/>
        <v>rediffmail.com</v>
      </c>
    </row>
    <row r="301" spans="1:30" x14ac:dyDescent="0.3">
      <c r="A301" t="s">
        <v>96</v>
      </c>
      <c r="B301" t="s">
        <v>185</v>
      </c>
      <c r="C301" t="s">
        <v>272</v>
      </c>
      <c r="D301">
        <v>26</v>
      </c>
      <c r="E301" t="s">
        <v>289</v>
      </c>
      <c r="F301" t="s">
        <v>293</v>
      </c>
      <c r="G301" t="s">
        <v>377</v>
      </c>
      <c r="H301" t="s">
        <v>477</v>
      </c>
      <c r="I301" t="s">
        <v>798</v>
      </c>
      <c r="J301" s="1">
        <v>45104</v>
      </c>
      <c r="K301" t="s">
        <v>1298</v>
      </c>
      <c r="L301" t="s">
        <v>1508</v>
      </c>
      <c r="M301">
        <v>175.93</v>
      </c>
      <c r="N301">
        <v>2</v>
      </c>
      <c r="O301" t="s">
        <v>2047</v>
      </c>
      <c r="P301">
        <v>5</v>
      </c>
      <c r="Q301">
        <v>49</v>
      </c>
      <c r="R301" s="1">
        <v>45106</v>
      </c>
      <c r="S301" t="s">
        <v>1849</v>
      </c>
      <c r="T301">
        <f t="shared" si="44"/>
        <v>2</v>
      </c>
      <c r="U301">
        <f t="shared" si="45"/>
        <v>351.86</v>
      </c>
      <c r="V301">
        <f t="shared" si="46"/>
        <v>400.86</v>
      </c>
      <c r="W301">
        <f t="shared" si="47"/>
        <v>0.08</v>
      </c>
      <c r="X301">
        <f t="shared" si="48"/>
        <v>28.148800000000001</v>
      </c>
      <c r="Y301">
        <f t="shared" si="49"/>
        <v>372.71120000000002</v>
      </c>
      <c r="Z301" t="str">
        <f t="shared" si="50"/>
        <v>Leslie Montgomery</v>
      </c>
      <c r="AA301" s="1" t="str">
        <f t="shared" si="51"/>
        <v>Before Time</v>
      </c>
      <c r="AB301" t="str">
        <f t="shared" si="52"/>
        <v>Jun</v>
      </c>
      <c r="AC301" s="9">
        <f t="shared" si="53"/>
        <v>2023</v>
      </c>
      <c r="AD301" t="str">
        <f t="shared" si="54"/>
        <v>gmail.com</v>
      </c>
    </row>
    <row r="302" spans="1:30" x14ac:dyDescent="0.3">
      <c r="A302" t="s">
        <v>103</v>
      </c>
      <c r="B302" t="s">
        <v>191</v>
      </c>
      <c r="C302" t="s">
        <v>277</v>
      </c>
      <c r="D302">
        <v>18</v>
      </c>
      <c r="E302" t="s">
        <v>288</v>
      </c>
      <c r="F302" t="s">
        <v>295</v>
      </c>
      <c r="G302" t="s">
        <v>384</v>
      </c>
      <c r="H302" t="s">
        <v>484</v>
      </c>
      <c r="I302" t="s">
        <v>841</v>
      </c>
      <c r="J302" s="1">
        <v>45563</v>
      </c>
      <c r="K302" t="s">
        <v>1341</v>
      </c>
      <c r="L302" t="s">
        <v>1520</v>
      </c>
      <c r="M302">
        <v>62.42</v>
      </c>
      <c r="N302">
        <v>1</v>
      </c>
      <c r="O302" t="s">
        <v>2047</v>
      </c>
      <c r="P302">
        <v>3</v>
      </c>
      <c r="Q302">
        <v>46</v>
      </c>
      <c r="R302" s="1">
        <v>45565</v>
      </c>
      <c r="S302" t="s">
        <v>1892</v>
      </c>
      <c r="T302">
        <f t="shared" si="44"/>
        <v>2</v>
      </c>
      <c r="U302">
        <f t="shared" si="45"/>
        <v>62.42</v>
      </c>
      <c r="V302">
        <f t="shared" si="46"/>
        <v>108.42</v>
      </c>
      <c r="W302">
        <f t="shared" si="47"/>
        <v>0.08</v>
      </c>
      <c r="X302">
        <f t="shared" si="48"/>
        <v>4.9935999999999998</v>
      </c>
      <c r="Y302">
        <f t="shared" si="49"/>
        <v>103.4264</v>
      </c>
      <c r="Z302" t="str">
        <f t="shared" si="50"/>
        <v>Gary Huff</v>
      </c>
      <c r="AA302" s="1" t="str">
        <f t="shared" si="51"/>
        <v>Before Time</v>
      </c>
      <c r="AB302" t="str">
        <f t="shared" si="52"/>
        <v>Sep</v>
      </c>
      <c r="AC302" s="9">
        <f t="shared" si="53"/>
        <v>2024</v>
      </c>
      <c r="AD302" t="str">
        <f t="shared" si="54"/>
        <v>gmail.com</v>
      </c>
    </row>
    <row r="303" spans="1:30" x14ac:dyDescent="0.3">
      <c r="A303" t="s">
        <v>60</v>
      </c>
      <c r="B303" t="s">
        <v>157</v>
      </c>
      <c r="C303" t="s">
        <v>241</v>
      </c>
      <c r="D303">
        <v>52</v>
      </c>
      <c r="E303" t="s">
        <v>290</v>
      </c>
      <c r="F303" t="s">
        <v>298</v>
      </c>
      <c r="G303" t="s">
        <v>341</v>
      </c>
      <c r="H303" t="s">
        <v>441</v>
      </c>
      <c r="I303" t="s">
        <v>800</v>
      </c>
      <c r="J303" s="1">
        <v>45279</v>
      </c>
      <c r="K303" t="s">
        <v>1300</v>
      </c>
      <c r="L303" t="s">
        <v>1513</v>
      </c>
      <c r="M303">
        <v>20.7</v>
      </c>
      <c r="N303">
        <v>2</v>
      </c>
      <c r="O303" t="s">
        <v>2047</v>
      </c>
      <c r="P303">
        <v>7</v>
      </c>
      <c r="Q303">
        <v>39</v>
      </c>
      <c r="R303" s="1">
        <v>45286</v>
      </c>
      <c r="S303" t="s">
        <v>1851</v>
      </c>
      <c r="T303">
        <f t="shared" si="44"/>
        <v>7</v>
      </c>
      <c r="U303">
        <f t="shared" si="45"/>
        <v>41.4</v>
      </c>
      <c r="V303">
        <f t="shared" si="46"/>
        <v>80.400000000000006</v>
      </c>
      <c r="W303">
        <f t="shared" si="47"/>
        <v>0.08</v>
      </c>
      <c r="X303">
        <f t="shared" si="48"/>
        <v>3.3119999999999998</v>
      </c>
      <c r="Y303">
        <f t="shared" si="49"/>
        <v>77.088000000000008</v>
      </c>
      <c r="Z303" t="str">
        <f t="shared" si="50"/>
        <v>Amanda Howard</v>
      </c>
      <c r="AA303" s="1" t="str">
        <f t="shared" si="51"/>
        <v>In Time</v>
      </c>
      <c r="AB303" t="str">
        <f t="shared" si="52"/>
        <v>Dec</v>
      </c>
      <c r="AC303" s="9">
        <f t="shared" si="53"/>
        <v>2023</v>
      </c>
      <c r="AD303" t="str">
        <f t="shared" si="54"/>
        <v>outlook.com</v>
      </c>
    </row>
    <row r="304" spans="1:30" x14ac:dyDescent="0.3">
      <c r="A304" t="s">
        <v>32</v>
      </c>
      <c r="B304" t="s">
        <v>132</v>
      </c>
      <c r="C304" t="s">
        <v>214</v>
      </c>
      <c r="D304">
        <v>24</v>
      </c>
      <c r="E304" t="s">
        <v>288</v>
      </c>
      <c r="F304" t="s">
        <v>293</v>
      </c>
      <c r="G304" t="s">
        <v>313</v>
      </c>
      <c r="H304" t="s">
        <v>413</v>
      </c>
      <c r="I304" t="s">
        <v>801</v>
      </c>
      <c r="J304" s="1">
        <v>45206</v>
      </c>
      <c r="K304" t="s">
        <v>1301</v>
      </c>
      <c r="L304" t="s">
        <v>1509</v>
      </c>
      <c r="M304">
        <v>190.1</v>
      </c>
      <c r="N304">
        <v>1</v>
      </c>
      <c r="O304" t="s">
        <v>1550</v>
      </c>
      <c r="P304">
        <v>3</v>
      </c>
      <c r="Q304">
        <v>63</v>
      </c>
      <c r="R304" s="1">
        <v>45207</v>
      </c>
      <c r="S304" t="s">
        <v>1852</v>
      </c>
      <c r="T304">
        <f t="shared" si="44"/>
        <v>1</v>
      </c>
      <c r="U304">
        <f t="shared" si="45"/>
        <v>190.1</v>
      </c>
      <c r="V304">
        <f t="shared" si="46"/>
        <v>253.1</v>
      </c>
      <c r="W304">
        <f t="shared" si="47"/>
        <v>0.2</v>
      </c>
      <c r="X304">
        <f t="shared" si="48"/>
        <v>38.020000000000003</v>
      </c>
      <c r="Y304">
        <f t="shared" si="49"/>
        <v>215.07999999999998</v>
      </c>
      <c r="Z304" t="str">
        <f t="shared" si="50"/>
        <v>Joshua Campbell</v>
      </c>
      <c r="AA304" s="1" t="str">
        <f t="shared" si="51"/>
        <v>Before Time</v>
      </c>
      <c r="AB304" t="str">
        <f t="shared" si="52"/>
        <v>Oct</v>
      </c>
      <c r="AC304" s="9">
        <f t="shared" si="53"/>
        <v>2023</v>
      </c>
      <c r="AD304" t="str">
        <f t="shared" si="54"/>
        <v>gmail.com</v>
      </c>
    </row>
    <row r="305" spans="1:30" x14ac:dyDescent="0.3">
      <c r="A305" t="s">
        <v>106</v>
      </c>
      <c r="B305" t="s">
        <v>154</v>
      </c>
      <c r="C305" t="s">
        <v>280</v>
      </c>
      <c r="D305">
        <v>34</v>
      </c>
      <c r="E305" t="s">
        <v>290</v>
      </c>
      <c r="F305" t="s">
        <v>298</v>
      </c>
      <c r="G305" t="s">
        <v>387</v>
      </c>
      <c r="H305" t="s">
        <v>487</v>
      </c>
      <c r="I305" t="s">
        <v>802</v>
      </c>
      <c r="J305" s="1">
        <v>45324</v>
      </c>
      <c r="K305" t="s">
        <v>1302</v>
      </c>
      <c r="L305" t="s">
        <v>1522</v>
      </c>
      <c r="M305">
        <v>158.53</v>
      </c>
      <c r="N305">
        <v>3</v>
      </c>
      <c r="O305" t="s">
        <v>1550</v>
      </c>
      <c r="P305">
        <v>6</v>
      </c>
      <c r="Q305">
        <v>38</v>
      </c>
      <c r="R305" s="1">
        <v>45331</v>
      </c>
      <c r="S305" t="s">
        <v>1853</v>
      </c>
      <c r="T305">
        <f t="shared" si="44"/>
        <v>7</v>
      </c>
      <c r="U305">
        <f t="shared" si="45"/>
        <v>475.59000000000003</v>
      </c>
      <c r="V305">
        <f t="shared" si="46"/>
        <v>513.59</v>
      </c>
      <c r="W305">
        <f t="shared" si="47"/>
        <v>0.2</v>
      </c>
      <c r="X305">
        <f t="shared" si="48"/>
        <v>95.118000000000009</v>
      </c>
      <c r="Y305">
        <f t="shared" si="49"/>
        <v>418.47200000000004</v>
      </c>
      <c r="Z305" t="str">
        <f t="shared" si="50"/>
        <v>Thomas Owens</v>
      </c>
      <c r="AA305" s="1" t="str">
        <f t="shared" si="51"/>
        <v>Late</v>
      </c>
      <c r="AB305" t="str">
        <f t="shared" si="52"/>
        <v>Feb</v>
      </c>
      <c r="AC305" s="9">
        <f t="shared" si="53"/>
        <v>2024</v>
      </c>
      <c r="AD305" t="str">
        <f t="shared" si="54"/>
        <v>outlook.com</v>
      </c>
    </row>
    <row r="306" spans="1:30" x14ac:dyDescent="0.3">
      <c r="A306" t="s">
        <v>43</v>
      </c>
      <c r="B306" t="s">
        <v>141</v>
      </c>
      <c r="C306" t="s">
        <v>224</v>
      </c>
      <c r="D306">
        <v>19</v>
      </c>
      <c r="E306" t="s">
        <v>289</v>
      </c>
      <c r="F306" t="s">
        <v>295</v>
      </c>
      <c r="G306" t="s">
        <v>324</v>
      </c>
      <c r="H306" t="s">
        <v>424</v>
      </c>
      <c r="I306" t="s">
        <v>975</v>
      </c>
      <c r="J306" s="1">
        <v>45272</v>
      </c>
      <c r="K306" t="s">
        <v>1474</v>
      </c>
      <c r="L306" t="s">
        <v>1500</v>
      </c>
      <c r="M306">
        <v>44.5</v>
      </c>
      <c r="N306">
        <v>1</v>
      </c>
      <c r="O306" t="s">
        <v>1549</v>
      </c>
      <c r="P306">
        <v>4</v>
      </c>
      <c r="Q306">
        <v>49</v>
      </c>
      <c r="R306" s="1">
        <v>45278</v>
      </c>
      <c r="S306" t="s">
        <v>2023</v>
      </c>
      <c r="T306">
        <f t="shared" si="44"/>
        <v>6</v>
      </c>
      <c r="U306">
        <f t="shared" si="45"/>
        <v>44.5</v>
      </c>
      <c r="V306">
        <f t="shared" si="46"/>
        <v>93.5</v>
      </c>
      <c r="W306">
        <f t="shared" si="47"/>
        <v>0.1</v>
      </c>
      <c r="X306">
        <f t="shared" si="48"/>
        <v>4.45</v>
      </c>
      <c r="Y306">
        <f t="shared" si="49"/>
        <v>89.05</v>
      </c>
      <c r="Z306" t="str">
        <f t="shared" si="50"/>
        <v>Jessica Ruiz</v>
      </c>
      <c r="AA306" s="1" t="str">
        <f t="shared" si="51"/>
        <v>Late</v>
      </c>
      <c r="AB306" t="str">
        <f t="shared" si="52"/>
        <v>Dec</v>
      </c>
      <c r="AC306" s="9">
        <f t="shared" si="53"/>
        <v>2023</v>
      </c>
      <c r="AD306" t="str">
        <f t="shared" si="54"/>
        <v>rediffmail.com</v>
      </c>
    </row>
    <row r="307" spans="1:30" x14ac:dyDescent="0.3">
      <c r="A307" t="s">
        <v>51</v>
      </c>
      <c r="B307" t="s">
        <v>149</v>
      </c>
      <c r="C307" t="s">
        <v>232</v>
      </c>
      <c r="D307">
        <v>29</v>
      </c>
      <c r="E307" t="s">
        <v>290</v>
      </c>
      <c r="F307" t="s">
        <v>296</v>
      </c>
      <c r="G307" t="s">
        <v>332</v>
      </c>
      <c r="H307" t="s">
        <v>432</v>
      </c>
      <c r="I307" t="s">
        <v>804</v>
      </c>
      <c r="J307" s="1">
        <v>45616</v>
      </c>
      <c r="K307" t="s">
        <v>1304</v>
      </c>
      <c r="L307" t="s">
        <v>1523</v>
      </c>
      <c r="M307">
        <v>129.75</v>
      </c>
      <c r="N307">
        <v>2</v>
      </c>
      <c r="O307" t="s">
        <v>1547</v>
      </c>
      <c r="P307">
        <v>4</v>
      </c>
      <c r="Q307">
        <v>53</v>
      </c>
      <c r="R307" s="1">
        <v>45620</v>
      </c>
      <c r="S307" t="s">
        <v>1855</v>
      </c>
      <c r="T307">
        <f t="shared" si="44"/>
        <v>4</v>
      </c>
      <c r="U307">
        <f t="shared" si="45"/>
        <v>259.5</v>
      </c>
      <c r="V307">
        <f t="shared" si="46"/>
        <v>259.5</v>
      </c>
      <c r="W307">
        <f t="shared" si="47"/>
        <v>0</v>
      </c>
      <c r="X307">
        <f t="shared" si="48"/>
        <v>0</v>
      </c>
      <c r="Y307">
        <f t="shared" si="49"/>
        <v>259.5</v>
      </c>
      <c r="Z307" t="str">
        <f t="shared" si="50"/>
        <v>Courtney Parker</v>
      </c>
      <c r="AA307" s="1" t="str">
        <f t="shared" si="51"/>
        <v>In Time</v>
      </c>
      <c r="AB307" t="str">
        <f t="shared" si="52"/>
        <v>Nov</v>
      </c>
      <c r="AC307" s="9">
        <f t="shared" si="53"/>
        <v>2024</v>
      </c>
      <c r="AD307" t="str">
        <f t="shared" si="54"/>
        <v>yahoo.com</v>
      </c>
    </row>
    <row r="308" spans="1:30" x14ac:dyDescent="0.3">
      <c r="A308" t="s">
        <v>90</v>
      </c>
      <c r="B308" t="s">
        <v>139</v>
      </c>
      <c r="C308" t="s">
        <v>266</v>
      </c>
      <c r="D308">
        <v>55</v>
      </c>
      <c r="E308" t="s">
        <v>289</v>
      </c>
      <c r="F308" t="s">
        <v>293</v>
      </c>
      <c r="G308" t="s">
        <v>371</v>
      </c>
      <c r="H308" t="s">
        <v>471</v>
      </c>
      <c r="I308" t="s">
        <v>901</v>
      </c>
      <c r="J308" s="1">
        <v>45324</v>
      </c>
      <c r="K308" t="s">
        <v>1401</v>
      </c>
      <c r="L308" t="s">
        <v>1508</v>
      </c>
      <c r="M308">
        <v>175.93</v>
      </c>
      <c r="N308">
        <v>2</v>
      </c>
      <c r="O308" t="s">
        <v>1547</v>
      </c>
      <c r="P308">
        <v>6</v>
      </c>
      <c r="Q308">
        <v>50</v>
      </c>
      <c r="R308" s="1">
        <v>45325</v>
      </c>
      <c r="S308" t="s">
        <v>1950</v>
      </c>
      <c r="T308">
        <f t="shared" si="44"/>
        <v>1</v>
      </c>
      <c r="U308">
        <f t="shared" si="45"/>
        <v>351.86</v>
      </c>
      <c r="V308">
        <f t="shared" si="46"/>
        <v>351.86</v>
      </c>
      <c r="W308">
        <f t="shared" si="47"/>
        <v>0</v>
      </c>
      <c r="X308">
        <f t="shared" si="48"/>
        <v>0</v>
      </c>
      <c r="Y308">
        <f t="shared" si="49"/>
        <v>351.86</v>
      </c>
      <c r="Z308" t="str">
        <f t="shared" si="50"/>
        <v>Mark Summers</v>
      </c>
      <c r="AA308" s="1" t="str">
        <f t="shared" si="51"/>
        <v>Before Time</v>
      </c>
      <c r="AB308" t="str">
        <f t="shared" si="52"/>
        <v>Feb</v>
      </c>
      <c r="AC308" s="9">
        <f t="shared" si="53"/>
        <v>2024</v>
      </c>
      <c r="AD308" t="str">
        <f t="shared" si="54"/>
        <v>outlook.com</v>
      </c>
    </row>
    <row r="309" spans="1:30" x14ac:dyDescent="0.3">
      <c r="A309" t="s">
        <v>97</v>
      </c>
      <c r="B309" t="s">
        <v>186</v>
      </c>
      <c r="C309" t="s">
        <v>238</v>
      </c>
      <c r="D309">
        <v>37</v>
      </c>
      <c r="E309" t="s">
        <v>290</v>
      </c>
      <c r="F309" t="s">
        <v>298</v>
      </c>
      <c r="G309" t="s">
        <v>378</v>
      </c>
      <c r="H309" t="s">
        <v>478</v>
      </c>
      <c r="I309" t="s">
        <v>806</v>
      </c>
      <c r="J309" s="1">
        <v>45671</v>
      </c>
      <c r="K309" t="s">
        <v>1306</v>
      </c>
      <c r="L309" t="s">
        <v>1519</v>
      </c>
      <c r="M309">
        <v>421.7</v>
      </c>
      <c r="N309">
        <v>5</v>
      </c>
      <c r="O309" t="s">
        <v>1548</v>
      </c>
      <c r="P309">
        <v>2</v>
      </c>
      <c r="Q309">
        <v>56</v>
      </c>
      <c r="R309" s="1">
        <v>45674</v>
      </c>
      <c r="S309" t="s">
        <v>1857</v>
      </c>
      <c r="T309">
        <f t="shared" si="44"/>
        <v>3</v>
      </c>
      <c r="U309">
        <f t="shared" si="45"/>
        <v>2108.5</v>
      </c>
      <c r="V309">
        <f t="shared" si="46"/>
        <v>2164.5</v>
      </c>
      <c r="W309">
        <f t="shared" si="47"/>
        <v>0.15</v>
      </c>
      <c r="X309">
        <f t="shared" si="48"/>
        <v>316.27499999999998</v>
      </c>
      <c r="Y309">
        <f t="shared" si="49"/>
        <v>1848.2249999999999</v>
      </c>
      <c r="Z309" t="str">
        <f t="shared" si="50"/>
        <v>Susan Thompson</v>
      </c>
      <c r="AA309" s="1" t="str">
        <f t="shared" si="51"/>
        <v>Late</v>
      </c>
      <c r="AB309" t="str">
        <f t="shared" si="52"/>
        <v>Jan</v>
      </c>
      <c r="AC309" s="9">
        <f t="shared" si="53"/>
        <v>2025</v>
      </c>
      <c r="AD309" t="str">
        <f t="shared" si="54"/>
        <v>outlook.com</v>
      </c>
    </row>
    <row r="310" spans="1:30" x14ac:dyDescent="0.3">
      <c r="A310" t="s">
        <v>77</v>
      </c>
      <c r="B310" t="s">
        <v>169</v>
      </c>
      <c r="C310" t="s">
        <v>255</v>
      </c>
      <c r="D310">
        <v>21</v>
      </c>
      <c r="E310" t="s">
        <v>288</v>
      </c>
      <c r="F310" t="s">
        <v>292</v>
      </c>
      <c r="G310" t="s">
        <v>358</v>
      </c>
      <c r="H310" t="s">
        <v>458</v>
      </c>
      <c r="I310" t="s">
        <v>807</v>
      </c>
      <c r="J310" s="1">
        <v>45064</v>
      </c>
      <c r="K310" t="s">
        <v>1307</v>
      </c>
      <c r="L310" t="s">
        <v>1537</v>
      </c>
      <c r="M310">
        <v>445.81</v>
      </c>
      <c r="N310">
        <v>1</v>
      </c>
      <c r="O310" t="s">
        <v>1550</v>
      </c>
      <c r="P310">
        <v>7</v>
      </c>
      <c r="Q310">
        <v>41</v>
      </c>
      <c r="R310" s="1">
        <v>45071</v>
      </c>
      <c r="S310" t="s">
        <v>1858</v>
      </c>
      <c r="T310">
        <f t="shared" si="44"/>
        <v>7</v>
      </c>
      <c r="U310">
        <f t="shared" si="45"/>
        <v>445.81</v>
      </c>
      <c r="V310">
        <f t="shared" si="46"/>
        <v>486.81</v>
      </c>
      <c r="W310">
        <f t="shared" si="47"/>
        <v>0.2</v>
      </c>
      <c r="X310">
        <f t="shared" si="48"/>
        <v>89.162000000000006</v>
      </c>
      <c r="Y310">
        <f t="shared" si="49"/>
        <v>397.64800000000002</v>
      </c>
      <c r="Z310" t="str">
        <f t="shared" si="50"/>
        <v>William Mann</v>
      </c>
      <c r="AA310" s="1" t="str">
        <f t="shared" si="51"/>
        <v>In Time</v>
      </c>
      <c r="AB310" t="str">
        <f t="shared" si="52"/>
        <v>May</v>
      </c>
      <c r="AC310" s="9">
        <f t="shared" si="53"/>
        <v>2023</v>
      </c>
      <c r="AD310" t="str">
        <f t="shared" si="54"/>
        <v>yahoo.com</v>
      </c>
    </row>
    <row r="311" spans="1:30" x14ac:dyDescent="0.3">
      <c r="A311" t="s">
        <v>83</v>
      </c>
      <c r="B311" t="s">
        <v>173</v>
      </c>
      <c r="C311" t="s">
        <v>260</v>
      </c>
      <c r="D311">
        <v>68</v>
      </c>
      <c r="E311" t="s">
        <v>288</v>
      </c>
      <c r="F311" t="s">
        <v>298</v>
      </c>
      <c r="G311" t="s">
        <v>364</v>
      </c>
      <c r="H311" t="s">
        <v>464</v>
      </c>
      <c r="I311" t="s">
        <v>808</v>
      </c>
      <c r="J311" s="1">
        <v>44973</v>
      </c>
      <c r="K311" t="s">
        <v>1308</v>
      </c>
      <c r="L311" t="s">
        <v>1534</v>
      </c>
      <c r="M311">
        <v>425.59</v>
      </c>
      <c r="N311">
        <v>2</v>
      </c>
      <c r="O311" t="s">
        <v>1547</v>
      </c>
      <c r="P311">
        <v>2</v>
      </c>
      <c r="Q311">
        <v>67</v>
      </c>
      <c r="R311" s="1">
        <v>44977</v>
      </c>
      <c r="S311" t="s">
        <v>1859</v>
      </c>
      <c r="T311">
        <f t="shared" si="44"/>
        <v>4</v>
      </c>
      <c r="U311">
        <f t="shared" si="45"/>
        <v>851.18</v>
      </c>
      <c r="V311">
        <f t="shared" si="46"/>
        <v>851.18</v>
      </c>
      <c r="W311">
        <f t="shared" si="47"/>
        <v>0</v>
      </c>
      <c r="X311">
        <f t="shared" si="48"/>
        <v>0</v>
      </c>
      <c r="Y311">
        <f t="shared" si="49"/>
        <v>851.18</v>
      </c>
      <c r="Z311" t="str">
        <f t="shared" si="50"/>
        <v>Troy Gomez</v>
      </c>
      <c r="AA311" s="1" t="str">
        <f t="shared" si="51"/>
        <v>Late</v>
      </c>
      <c r="AB311" t="str">
        <f t="shared" si="52"/>
        <v>Feb</v>
      </c>
      <c r="AC311" s="9">
        <f t="shared" si="53"/>
        <v>2023</v>
      </c>
      <c r="AD311" t="str">
        <f t="shared" si="54"/>
        <v>outlook.com</v>
      </c>
    </row>
    <row r="312" spans="1:30" x14ac:dyDescent="0.3">
      <c r="A312" t="s">
        <v>54</v>
      </c>
      <c r="B312" t="s">
        <v>152</v>
      </c>
      <c r="C312" t="s">
        <v>235</v>
      </c>
      <c r="D312">
        <v>32</v>
      </c>
      <c r="E312" t="s">
        <v>289</v>
      </c>
      <c r="F312" t="s">
        <v>297</v>
      </c>
      <c r="G312" t="s">
        <v>335</v>
      </c>
      <c r="H312" t="s">
        <v>435</v>
      </c>
      <c r="I312" t="s">
        <v>809</v>
      </c>
      <c r="J312" s="1">
        <v>45515</v>
      </c>
      <c r="K312" t="s">
        <v>1309</v>
      </c>
      <c r="L312" t="s">
        <v>1534</v>
      </c>
      <c r="M312">
        <v>425.59</v>
      </c>
      <c r="N312">
        <v>1</v>
      </c>
      <c r="O312" t="s">
        <v>2047</v>
      </c>
      <c r="P312">
        <v>1</v>
      </c>
      <c r="Q312">
        <v>62</v>
      </c>
      <c r="R312" s="1">
        <v>45518</v>
      </c>
      <c r="S312" t="s">
        <v>1860</v>
      </c>
      <c r="T312">
        <f t="shared" si="44"/>
        <v>3</v>
      </c>
      <c r="U312">
        <f t="shared" si="45"/>
        <v>425.59</v>
      </c>
      <c r="V312">
        <f t="shared" si="46"/>
        <v>487.59</v>
      </c>
      <c r="W312">
        <f t="shared" si="47"/>
        <v>0.08</v>
      </c>
      <c r="X312">
        <f t="shared" si="48"/>
        <v>34.047199999999997</v>
      </c>
      <c r="Y312">
        <f t="shared" si="49"/>
        <v>453.5428</v>
      </c>
      <c r="Z312" t="str">
        <f t="shared" si="50"/>
        <v>Robert Castillo</v>
      </c>
      <c r="AA312" s="1" t="str">
        <f t="shared" si="51"/>
        <v>Late</v>
      </c>
      <c r="AB312" t="str">
        <f t="shared" si="52"/>
        <v>Aug</v>
      </c>
      <c r="AC312" s="9">
        <f t="shared" si="53"/>
        <v>2024</v>
      </c>
      <c r="AD312" t="str">
        <f t="shared" si="54"/>
        <v>gmail.com</v>
      </c>
    </row>
    <row r="313" spans="1:30" x14ac:dyDescent="0.3">
      <c r="A313" t="s">
        <v>90</v>
      </c>
      <c r="B313" t="s">
        <v>139</v>
      </c>
      <c r="C313" t="s">
        <v>266</v>
      </c>
      <c r="D313">
        <v>55</v>
      </c>
      <c r="E313" t="s">
        <v>289</v>
      </c>
      <c r="F313" t="s">
        <v>293</v>
      </c>
      <c r="G313" t="s">
        <v>371</v>
      </c>
      <c r="H313" t="s">
        <v>471</v>
      </c>
      <c r="I313" t="s">
        <v>914</v>
      </c>
      <c r="J313" s="1">
        <v>44976</v>
      </c>
      <c r="K313" t="s">
        <v>1414</v>
      </c>
      <c r="L313" t="s">
        <v>1529</v>
      </c>
      <c r="M313">
        <v>128.13999999999999</v>
      </c>
      <c r="N313">
        <v>1</v>
      </c>
      <c r="O313" t="s">
        <v>1549</v>
      </c>
      <c r="P313">
        <v>1</v>
      </c>
      <c r="Q313">
        <v>39</v>
      </c>
      <c r="R313" s="1">
        <v>44982</v>
      </c>
      <c r="S313" t="s">
        <v>1895</v>
      </c>
      <c r="T313">
        <f t="shared" si="44"/>
        <v>6</v>
      </c>
      <c r="U313">
        <f t="shared" si="45"/>
        <v>128.13999999999999</v>
      </c>
      <c r="V313">
        <f t="shared" si="46"/>
        <v>167.14</v>
      </c>
      <c r="W313">
        <f t="shared" si="47"/>
        <v>0.1</v>
      </c>
      <c r="X313">
        <f t="shared" si="48"/>
        <v>12.814</v>
      </c>
      <c r="Y313">
        <f t="shared" si="49"/>
        <v>154.32599999999999</v>
      </c>
      <c r="Z313" t="str">
        <f t="shared" si="50"/>
        <v>Mark Summers</v>
      </c>
      <c r="AA313" s="1" t="str">
        <f t="shared" si="51"/>
        <v>Late</v>
      </c>
      <c r="AB313" t="str">
        <f t="shared" si="52"/>
        <v>Feb</v>
      </c>
      <c r="AC313" s="9">
        <f t="shared" si="53"/>
        <v>2023</v>
      </c>
      <c r="AD313" t="str">
        <f t="shared" si="54"/>
        <v>outlook.com</v>
      </c>
    </row>
    <row r="314" spans="1:30" x14ac:dyDescent="0.3">
      <c r="A314" t="s">
        <v>110</v>
      </c>
      <c r="B314" t="s">
        <v>195</v>
      </c>
      <c r="C314" t="s">
        <v>200</v>
      </c>
      <c r="D314">
        <v>50</v>
      </c>
      <c r="E314" t="s">
        <v>290</v>
      </c>
      <c r="F314" t="s">
        <v>297</v>
      </c>
      <c r="G314" t="s">
        <v>391</v>
      </c>
      <c r="H314" t="s">
        <v>491</v>
      </c>
      <c r="I314" t="s">
        <v>896</v>
      </c>
      <c r="J314" s="1">
        <v>45684</v>
      </c>
      <c r="K314" t="s">
        <v>1396</v>
      </c>
      <c r="L314" t="s">
        <v>1539</v>
      </c>
      <c r="M314">
        <v>235.63</v>
      </c>
      <c r="N314">
        <v>1</v>
      </c>
      <c r="O314" t="s">
        <v>1550</v>
      </c>
      <c r="P314">
        <v>7</v>
      </c>
      <c r="Q314">
        <v>46</v>
      </c>
      <c r="R314" s="1">
        <v>45689</v>
      </c>
      <c r="S314" t="s">
        <v>1945</v>
      </c>
      <c r="T314">
        <f t="shared" si="44"/>
        <v>5</v>
      </c>
      <c r="U314">
        <f t="shared" si="45"/>
        <v>235.63</v>
      </c>
      <c r="V314">
        <f t="shared" si="46"/>
        <v>281.63</v>
      </c>
      <c r="W314">
        <f t="shared" si="47"/>
        <v>0.2</v>
      </c>
      <c r="X314">
        <f t="shared" si="48"/>
        <v>47.126000000000005</v>
      </c>
      <c r="Y314">
        <f t="shared" si="49"/>
        <v>234.50399999999999</v>
      </c>
      <c r="Z314" t="str">
        <f t="shared" si="50"/>
        <v>Brendan Kelly</v>
      </c>
      <c r="AA314" s="1" t="str">
        <f t="shared" si="51"/>
        <v>Before Time</v>
      </c>
      <c r="AB314" t="str">
        <f t="shared" si="52"/>
        <v>Jan</v>
      </c>
      <c r="AC314" s="9">
        <f t="shared" si="53"/>
        <v>2025</v>
      </c>
      <c r="AD314" t="str">
        <f t="shared" si="54"/>
        <v>rediffmail.com</v>
      </c>
    </row>
    <row r="315" spans="1:30" x14ac:dyDescent="0.3">
      <c r="A315" t="s">
        <v>72</v>
      </c>
      <c r="B315" t="s">
        <v>144</v>
      </c>
      <c r="C315" t="s">
        <v>250</v>
      </c>
      <c r="D315">
        <v>30</v>
      </c>
      <c r="E315" t="s">
        <v>288</v>
      </c>
      <c r="F315" t="s">
        <v>298</v>
      </c>
      <c r="G315" t="s">
        <v>353</v>
      </c>
      <c r="H315" t="s">
        <v>453</v>
      </c>
      <c r="I315" t="s">
        <v>567</v>
      </c>
      <c r="J315" s="1">
        <v>45400</v>
      </c>
      <c r="K315" t="s">
        <v>1067</v>
      </c>
      <c r="L315" t="s">
        <v>1524</v>
      </c>
      <c r="M315">
        <v>157.63999999999999</v>
      </c>
      <c r="N315">
        <v>2</v>
      </c>
      <c r="O315" t="s">
        <v>1550</v>
      </c>
      <c r="P315">
        <v>1</v>
      </c>
      <c r="Q315">
        <v>57</v>
      </c>
      <c r="R315" s="1">
        <v>45401</v>
      </c>
      <c r="S315" t="s">
        <v>1619</v>
      </c>
      <c r="T315">
        <f t="shared" si="44"/>
        <v>1</v>
      </c>
      <c r="U315">
        <f t="shared" si="45"/>
        <v>315.27999999999997</v>
      </c>
      <c r="V315">
        <f t="shared" si="46"/>
        <v>372.28</v>
      </c>
      <c r="W315">
        <f t="shared" si="47"/>
        <v>0.2</v>
      </c>
      <c r="X315">
        <f t="shared" si="48"/>
        <v>63.055999999999997</v>
      </c>
      <c r="Y315">
        <f t="shared" si="49"/>
        <v>309.22399999999999</v>
      </c>
      <c r="Z315" t="str">
        <f t="shared" si="50"/>
        <v>Lauren Lane</v>
      </c>
      <c r="AA315" s="1" t="str">
        <f t="shared" si="51"/>
        <v>In Time</v>
      </c>
      <c r="AB315" t="str">
        <f t="shared" si="52"/>
        <v>Apr</v>
      </c>
      <c r="AC315" s="9">
        <f t="shared" si="53"/>
        <v>2024</v>
      </c>
      <c r="AD315" t="str">
        <f t="shared" si="54"/>
        <v>gmail.com</v>
      </c>
    </row>
    <row r="316" spans="1:30" x14ac:dyDescent="0.3">
      <c r="A316" t="s">
        <v>99</v>
      </c>
      <c r="B316" t="s">
        <v>131</v>
      </c>
      <c r="C316" t="s">
        <v>273</v>
      </c>
      <c r="D316">
        <v>29</v>
      </c>
      <c r="E316" t="s">
        <v>288</v>
      </c>
      <c r="F316" t="s">
        <v>292</v>
      </c>
      <c r="G316" t="s">
        <v>380</v>
      </c>
      <c r="H316" t="s">
        <v>480</v>
      </c>
      <c r="I316" t="s">
        <v>813</v>
      </c>
      <c r="J316" s="1">
        <v>45108</v>
      </c>
      <c r="K316" t="s">
        <v>1313</v>
      </c>
      <c r="L316" t="s">
        <v>1515</v>
      </c>
      <c r="M316">
        <v>132.97</v>
      </c>
      <c r="N316">
        <v>3</v>
      </c>
      <c r="O316" t="s">
        <v>1548</v>
      </c>
      <c r="P316">
        <v>3</v>
      </c>
      <c r="Q316">
        <v>36</v>
      </c>
      <c r="R316" s="1">
        <v>45110</v>
      </c>
      <c r="S316" t="s">
        <v>1864</v>
      </c>
      <c r="T316">
        <f t="shared" si="44"/>
        <v>2</v>
      </c>
      <c r="U316">
        <f t="shared" si="45"/>
        <v>398.90999999999997</v>
      </c>
      <c r="V316">
        <f t="shared" si="46"/>
        <v>434.90999999999997</v>
      </c>
      <c r="W316">
        <f t="shared" si="47"/>
        <v>0.15</v>
      </c>
      <c r="X316">
        <f t="shared" si="48"/>
        <v>59.836499999999994</v>
      </c>
      <c r="Y316">
        <f t="shared" si="49"/>
        <v>375.07349999999997</v>
      </c>
      <c r="Z316" t="str">
        <f t="shared" si="50"/>
        <v>Amy Griffin</v>
      </c>
      <c r="AA316" s="1" t="str">
        <f t="shared" si="51"/>
        <v>Before Time</v>
      </c>
      <c r="AB316" t="str">
        <f t="shared" si="52"/>
        <v>Jul</v>
      </c>
      <c r="AC316" s="9">
        <f t="shared" si="53"/>
        <v>2023</v>
      </c>
      <c r="AD316" t="str">
        <f t="shared" si="54"/>
        <v>rediffmail.com</v>
      </c>
    </row>
    <row r="317" spans="1:30" x14ac:dyDescent="0.3">
      <c r="A317" t="s">
        <v>54</v>
      </c>
      <c r="B317" t="s">
        <v>152</v>
      </c>
      <c r="C317" t="s">
        <v>235</v>
      </c>
      <c r="D317">
        <v>32</v>
      </c>
      <c r="E317" t="s">
        <v>289</v>
      </c>
      <c r="F317" t="s">
        <v>297</v>
      </c>
      <c r="G317" t="s">
        <v>335</v>
      </c>
      <c r="H317" t="s">
        <v>435</v>
      </c>
      <c r="I317" t="s">
        <v>814</v>
      </c>
      <c r="J317" s="1">
        <v>45143</v>
      </c>
      <c r="K317" t="s">
        <v>1314</v>
      </c>
      <c r="L317" t="s">
        <v>1525</v>
      </c>
      <c r="M317">
        <v>481.48</v>
      </c>
      <c r="N317">
        <v>1</v>
      </c>
      <c r="O317" t="s">
        <v>1548</v>
      </c>
      <c r="P317">
        <v>4</v>
      </c>
      <c r="Q317">
        <v>67</v>
      </c>
      <c r="R317" s="1">
        <v>45150</v>
      </c>
      <c r="S317" t="s">
        <v>1865</v>
      </c>
      <c r="T317">
        <f t="shared" si="44"/>
        <v>7</v>
      </c>
      <c r="U317">
        <f t="shared" si="45"/>
        <v>481.48</v>
      </c>
      <c r="V317">
        <f t="shared" si="46"/>
        <v>548.48</v>
      </c>
      <c r="W317">
        <f t="shared" si="47"/>
        <v>0.15</v>
      </c>
      <c r="X317">
        <f t="shared" si="48"/>
        <v>72.221999999999994</v>
      </c>
      <c r="Y317">
        <f t="shared" si="49"/>
        <v>476.25800000000004</v>
      </c>
      <c r="Z317" t="str">
        <f t="shared" si="50"/>
        <v>Robert Castillo</v>
      </c>
      <c r="AA317" s="1" t="str">
        <f t="shared" si="51"/>
        <v>Late</v>
      </c>
      <c r="AB317" t="str">
        <f t="shared" si="52"/>
        <v>Aug</v>
      </c>
      <c r="AC317" s="9">
        <f t="shared" si="53"/>
        <v>2023</v>
      </c>
      <c r="AD317" t="str">
        <f t="shared" si="54"/>
        <v>gmail.com</v>
      </c>
    </row>
    <row r="318" spans="1:30" x14ac:dyDescent="0.3">
      <c r="A318" t="s">
        <v>30</v>
      </c>
      <c r="B318" t="s">
        <v>130</v>
      </c>
      <c r="C318" t="s">
        <v>212</v>
      </c>
      <c r="D318">
        <v>25</v>
      </c>
      <c r="E318" t="s">
        <v>290</v>
      </c>
      <c r="F318" t="s">
        <v>294</v>
      </c>
      <c r="G318" t="s">
        <v>311</v>
      </c>
      <c r="H318" t="s">
        <v>411</v>
      </c>
      <c r="I318" t="s">
        <v>815</v>
      </c>
      <c r="J318" s="1">
        <v>45211</v>
      </c>
      <c r="K318" t="s">
        <v>1315</v>
      </c>
      <c r="L318" t="s">
        <v>1525</v>
      </c>
      <c r="M318">
        <v>481.48</v>
      </c>
      <c r="N318">
        <v>2</v>
      </c>
      <c r="O318" t="s">
        <v>1549</v>
      </c>
      <c r="P318">
        <v>7</v>
      </c>
      <c r="Q318">
        <v>66</v>
      </c>
      <c r="R318" s="1">
        <v>45218</v>
      </c>
      <c r="S318" t="s">
        <v>1866</v>
      </c>
      <c r="T318">
        <f t="shared" si="44"/>
        <v>7</v>
      </c>
      <c r="U318">
        <f t="shared" si="45"/>
        <v>962.96</v>
      </c>
      <c r="V318">
        <f t="shared" si="46"/>
        <v>1028.96</v>
      </c>
      <c r="W318">
        <f t="shared" si="47"/>
        <v>0.1</v>
      </c>
      <c r="X318">
        <f t="shared" si="48"/>
        <v>96.296000000000006</v>
      </c>
      <c r="Y318">
        <f t="shared" si="49"/>
        <v>932.66399999999999</v>
      </c>
      <c r="Z318" t="str">
        <f t="shared" si="50"/>
        <v>Kara Brennan</v>
      </c>
      <c r="AA318" s="1" t="str">
        <f t="shared" si="51"/>
        <v>In Time</v>
      </c>
      <c r="AB318" t="str">
        <f t="shared" si="52"/>
        <v>Oct</v>
      </c>
      <c r="AC318" s="9">
        <f t="shared" si="53"/>
        <v>2023</v>
      </c>
      <c r="AD318" t="str">
        <f t="shared" si="54"/>
        <v>outlook.com</v>
      </c>
    </row>
    <row r="319" spans="1:30" x14ac:dyDescent="0.3">
      <c r="A319" t="s">
        <v>113</v>
      </c>
      <c r="B319" t="s">
        <v>169</v>
      </c>
      <c r="C319" t="s">
        <v>285</v>
      </c>
      <c r="D319">
        <v>57</v>
      </c>
      <c r="E319" t="s">
        <v>290</v>
      </c>
      <c r="F319" t="s">
        <v>294</v>
      </c>
      <c r="G319" t="s">
        <v>394</v>
      </c>
      <c r="H319" t="s">
        <v>494</v>
      </c>
      <c r="I319" t="s">
        <v>816</v>
      </c>
      <c r="J319" s="1">
        <v>45147</v>
      </c>
      <c r="K319" t="s">
        <v>1316</v>
      </c>
      <c r="L319" t="s">
        <v>1522</v>
      </c>
      <c r="M319">
        <v>158.53</v>
      </c>
      <c r="N319">
        <v>5</v>
      </c>
      <c r="O319" t="s">
        <v>1550</v>
      </c>
      <c r="P319">
        <v>1</v>
      </c>
      <c r="Q319">
        <v>46</v>
      </c>
      <c r="R319" s="1">
        <v>45151</v>
      </c>
      <c r="S319" t="s">
        <v>1867</v>
      </c>
      <c r="T319">
        <f t="shared" si="44"/>
        <v>4</v>
      </c>
      <c r="U319">
        <f t="shared" si="45"/>
        <v>792.65</v>
      </c>
      <c r="V319">
        <f t="shared" si="46"/>
        <v>838.65</v>
      </c>
      <c r="W319">
        <f t="shared" si="47"/>
        <v>0.2</v>
      </c>
      <c r="X319">
        <f t="shared" si="48"/>
        <v>158.53</v>
      </c>
      <c r="Y319">
        <f t="shared" si="49"/>
        <v>680.12</v>
      </c>
      <c r="Z319" t="str">
        <f t="shared" si="50"/>
        <v>William Richmond</v>
      </c>
      <c r="AA319" s="1" t="str">
        <f t="shared" si="51"/>
        <v>Late</v>
      </c>
      <c r="AB319" t="str">
        <f t="shared" si="52"/>
        <v>Aug</v>
      </c>
      <c r="AC319" s="9">
        <f t="shared" si="53"/>
        <v>2023</v>
      </c>
      <c r="AD319" t="str">
        <f t="shared" si="54"/>
        <v>outlook.com</v>
      </c>
    </row>
    <row r="320" spans="1:30" x14ac:dyDescent="0.3">
      <c r="A320" t="s">
        <v>109</v>
      </c>
      <c r="B320" t="s">
        <v>194</v>
      </c>
      <c r="C320" t="s">
        <v>283</v>
      </c>
      <c r="D320">
        <v>43</v>
      </c>
      <c r="E320" t="s">
        <v>288</v>
      </c>
      <c r="F320" t="s">
        <v>294</v>
      </c>
      <c r="G320" t="s">
        <v>390</v>
      </c>
      <c r="H320" t="s">
        <v>490</v>
      </c>
      <c r="I320" t="s">
        <v>817</v>
      </c>
      <c r="J320" s="1">
        <v>45637</v>
      </c>
      <c r="K320" t="s">
        <v>1317</v>
      </c>
      <c r="L320" t="s">
        <v>1511</v>
      </c>
      <c r="M320">
        <v>272.51</v>
      </c>
      <c r="N320">
        <v>2</v>
      </c>
      <c r="O320" t="s">
        <v>1550</v>
      </c>
      <c r="P320">
        <v>5</v>
      </c>
      <c r="Q320">
        <v>37</v>
      </c>
      <c r="R320" s="1">
        <v>45640</v>
      </c>
      <c r="S320" t="s">
        <v>1868</v>
      </c>
      <c r="T320">
        <f t="shared" si="44"/>
        <v>3</v>
      </c>
      <c r="U320">
        <f t="shared" si="45"/>
        <v>545.02</v>
      </c>
      <c r="V320">
        <f t="shared" si="46"/>
        <v>582.02</v>
      </c>
      <c r="W320">
        <f t="shared" si="47"/>
        <v>0.2</v>
      </c>
      <c r="X320">
        <f t="shared" si="48"/>
        <v>109.004</v>
      </c>
      <c r="Y320">
        <f t="shared" si="49"/>
        <v>473.01599999999996</v>
      </c>
      <c r="Z320" t="str">
        <f t="shared" si="50"/>
        <v>Jared Horn</v>
      </c>
      <c r="AA320" s="1" t="str">
        <f t="shared" si="51"/>
        <v>Before Time</v>
      </c>
      <c r="AB320" t="str">
        <f t="shared" si="52"/>
        <v>Dec</v>
      </c>
      <c r="AC320" s="9">
        <f t="shared" si="53"/>
        <v>2024</v>
      </c>
      <c r="AD320" t="str">
        <f t="shared" si="54"/>
        <v>outlook.com</v>
      </c>
    </row>
    <row r="321" spans="1:30" x14ac:dyDescent="0.3">
      <c r="A321" t="s">
        <v>110</v>
      </c>
      <c r="B321" t="s">
        <v>195</v>
      </c>
      <c r="C321" t="s">
        <v>200</v>
      </c>
      <c r="D321">
        <v>50</v>
      </c>
      <c r="E321" t="s">
        <v>290</v>
      </c>
      <c r="F321" t="s">
        <v>297</v>
      </c>
      <c r="G321" t="s">
        <v>391</v>
      </c>
      <c r="H321" t="s">
        <v>491</v>
      </c>
      <c r="I321" t="s">
        <v>946</v>
      </c>
      <c r="J321" s="1">
        <v>45656</v>
      </c>
      <c r="K321" t="s">
        <v>1445</v>
      </c>
      <c r="L321" t="s">
        <v>1512</v>
      </c>
      <c r="M321">
        <v>104.18</v>
      </c>
      <c r="N321">
        <v>2</v>
      </c>
      <c r="O321" t="s">
        <v>1548</v>
      </c>
      <c r="P321">
        <v>5</v>
      </c>
      <c r="Q321">
        <v>65</v>
      </c>
      <c r="R321" s="1">
        <v>45657</v>
      </c>
      <c r="S321" t="s">
        <v>1994</v>
      </c>
      <c r="T321">
        <f t="shared" si="44"/>
        <v>1</v>
      </c>
      <c r="U321">
        <f t="shared" si="45"/>
        <v>208.36</v>
      </c>
      <c r="V321">
        <f t="shared" si="46"/>
        <v>273.36</v>
      </c>
      <c r="W321">
        <f t="shared" si="47"/>
        <v>0.15</v>
      </c>
      <c r="X321">
        <f t="shared" si="48"/>
        <v>31.254000000000001</v>
      </c>
      <c r="Y321">
        <f t="shared" si="49"/>
        <v>242.10600000000002</v>
      </c>
      <c r="Z321" t="str">
        <f t="shared" si="50"/>
        <v>Brendan Kelly</v>
      </c>
      <c r="AA321" s="1" t="str">
        <f t="shared" si="51"/>
        <v>Before Time</v>
      </c>
      <c r="AB321" t="str">
        <f t="shared" si="52"/>
        <v>Dec</v>
      </c>
      <c r="AC321" s="9">
        <f t="shared" si="53"/>
        <v>2024</v>
      </c>
      <c r="AD321" t="str">
        <f t="shared" si="54"/>
        <v>rediffmail.com</v>
      </c>
    </row>
    <row r="322" spans="1:30" x14ac:dyDescent="0.3">
      <c r="A322" t="s">
        <v>33</v>
      </c>
      <c r="B322" t="s">
        <v>133</v>
      </c>
      <c r="C322" t="s">
        <v>215</v>
      </c>
      <c r="D322">
        <v>46</v>
      </c>
      <c r="E322" t="s">
        <v>288</v>
      </c>
      <c r="F322" t="s">
        <v>297</v>
      </c>
      <c r="G322" t="s">
        <v>314</v>
      </c>
      <c r="H322" t="s">
        <v>414</v>
      </c>
      <c r="I322" t="s">
        <v>819</v>
      </c>
      <c r="J322" s="1">
        <v>45479</v>
      </c>
      <c r="K322" t="s">
        <v>1319</v>
      </c>
      <c r="L322" t="s">
        <v>1542</v>
      </c>
      <c r="M322">
        <v>20</v>
      </c>
      <c r="N322">
        <v>2</v>
      </c>
      <c r="O322" t="s">
        <v>1549</v>
      </c>
      <c r="P322">
        <v>3</v>
      </c>
      <c r="Q322">
        <v>38</v>
      </c>
      <c r="R322" s="1">
        <v>45485</v>
      </c>
      <c r="S322" t="s">
        <v>1870</v>
      </c>
      <c r="T322">
        <f t="shared" si="44"/>
        <v>6</v>
      </c>
      <c r="U322">
        <f t="shared" si="45"/>
        <v>40</v>
      </c>
      <c r="V322">
        <f t="shared" si="46"/>
        <v>78</v>
      </c>
      <c r="W322">
        <f t="shared" si="47"/>
        <v>0.1</v>
      </c>
      <c r="X322">
        <f t="shared" si="48"/>
        <v>4</v>
      </c>
      <c r="Y322">
        <f t="shared" si="49"/>
        <v>74</v>
      </c>
      <c r="Z322" t="str">
        <f t="shared" si="50"/>
        <v>Erin Miller</v>
      </c>
      <c r="AA322" s="1" t="str">
        <f t="shared" si="51"/>
        <v>Late</v>
      </c>
      <c r="AB322" t="str">
        <f t="shared" si="52"/>
        <v>Jul</v>
      </c>
      <c r="AC322" s="9">
        <f t="shared" si="53"/>
        <v>2024</v>
      </c>
      <c r="AD322" t="str">
        <f t="shared" si="54"/>
        <v>gmail.com</v>
      </c>
    </row>
    <row r="323" spans="1:30" x14ac:dyDescent="0.3">
      <c r="A323" t="s">
        <v>61</v>
      </c>
      <c r="B323" t="s">
        <v>158</v>
      </c>
      <c r="C323" t="s">
        <v>242</v>
      </c>
      <c r="D323">
        <v>28</v>
      </c>
      <c r="E323" t="s">
        <v>290</v>
      </c>
      <c r="F323" t="s">
        <v>295</v>
      </c>
      <c r="G323" t="s">
        <v>342</v>
      </c>
      <c r="H323" t="s">
        <v>442</v>
      </c>
      <c r="I323" t="s">
        <v>820</v>
      </c>
      <c r="J323" s="1">
        <v>45501</v>
      </c>
      <c r="K323" t="s">
        <v>1320</v>
      </c>
      <c r="L323" t="s">
        <v>1540</v>
      </c>
      <c r="M323">
        <v>424.82</v>
      </c>
      <c r="N323">
        <v>1</v>
      </c>
      <c r="O323" t="s">
        <v>2047</v>
      </c>
      <c r="P323">
        <v>5</v>
      </c>
      <c r="Q323">
        <v>49</v>
      </c>
      <c r="R323" s="1">
        <v>45508</v>
      </c>
      <c r="S323" t="s">
        <v>1871</v>
      </c>
      <c r="T323">
        <f t="shared" ref="T323:T386" si="55">R323-J323</f>
        <v>7</v>
      </c>
      <c r="U323">
        <f t="shared" ref="U323:U386" si="56">M323*N323</f>
        <v>424.82</v>
      </c>
      <c r="V323">
        <f t="shared" ref="V323:V386" si="57">IF(O323="DEL0",U323,U323+Q323)</f>
        <v>473.82</v>
      </c>
      <c r="W323">
        <f t="shared" ref="W323:W386" si="58">IF(O323="FLAT8",8%,IF(O323="FLAT10",10%,IF(O323="FLAT15",15%,IF(O323="FLAT20",20%,0))))</f>
        <v>0.08</v>
      </c>
      <c r="X323">
        <f t="shared" ref="X323:X386" si="59">U323*W323</f>
        <v>33.985599999999998</v>
      </c>
      <c r="Y323">
        <f t="shared" ref="Y323:Y386" si="60">V323-X323</f>
        <v>439.83440000000002</v>
      </c>
      <c r="Z323" t="str">
        <f t="shared" ref="Z323:Z386" si="61">B323&amp;" "&amp;C323</f>
        <v>Mary Knight</v>
      </c>
      <c r="AA323" s="1" t="str">
        <f t="shared" ref="AA323:AA386" si="62">IF(R323&lt;(J323+P323),"Before Time",IF(R323=(J323+P323),"In Time","Late"))</f>
        <v>Late</v>
      </c>
      <c r="AB323" t="str">
        <f t="shared" ref="AB323:AB386" si="63">TEXT(J323,"MMM")</f>
        <v>Jul</v>
      </c>
      <c r="AC323" s="9">
        <f t="shared" ref="AC323:AC386" si="64">YEAR(J323)</f>
        <v>2024</v>
      </c>
      <c r="AD323" t="str">
        <f t="shared" ref="AD323:AD386" si="65">RIGHT(G323,LEN(G323)-FIND("@",G323))</f>
        <v>yahoo.com</v>
      </c>
    </row>
    <row r="324" spans="1:30" x14ac:dyDescent="0.3">
      <c r="A324" t="s">
        <v>108</v>
      </c>
      <c r="B324" t="s">
        <v>193</v>
      </c>
      <c r="C324" t="s">
        <v>282</v>
      </c>
      <c r="D324">
        <v>63</v>
      </c>
      <c r="E324" t="s">
        <v>288</v>
      </c>
      <c r="F324" t="s">
        <v>297</v>
      </c>
      <c r="G324" t="s">
        <v>389</v>
      </c>
      <c r="H324" t="s">
        <v>489</v>
      </c>
      <c r="I324" t="s">
        <v>821</v>
      </c>
      <c r="J324" s="1">
        <v>45107</v>
      </c>
      <c r="K324" t="s">
        <v>1321</v>
      </c>
      <c r="L324" t="s">
        <v>1510</v>
      </c>
      <c r="M324">
        <v>220.27</v>
      </c>
      <c r="N324">
        <v>5</v>
      </c>
      <c r="O324" t="s">
        <v>1550</v>
      </c>
      <c r="P324">
        <v>6</v>
      </c>
      <c r="Q324">
        <v>57</v>
      </c>
      <c r="R324" s="1">
        <v>45109</v>
      </c>
      <c r="S324" t="s">
        <v>1872</v>
      </c>
      <c r="T324">
        <f t="shared" si="55"/>
        <v>2</v>
      </c>
      <c r="U324">
        <f t="shared" si="56"/>
        <v>1101.3500000000001</v>
      </c>
      <c r="V324">
        <f t="shared" si="57"/>
        <v>1158.3500000000001</v>
      </c>
      <c r="W324">
        <f t="shared" si="58"/>
        <v>0.2</v>
      </c>
      <c r="X324">
        <f t="shared" si="59"/>
        <v>220.27000000000004</v>
      </c>
      <c r="Y324">
        <f t="shared" si="60"/>
        <v>938.08000000000015</v>
      </c>
      <c r="Z324" t="str">
        <f t="shared" si="61"/>
        <v>Megan Hunt</v>
      </c>
      <c r="AA324" s="1" t="str">
        <f t="shared" si="62"/>
        <v>Before Time</v>
      </c>
      <c r="AB324" t="str">
        <f t="shared" si="63"/>
        <v>Jun</v>
      </c>
      <c r="AC324" s="9">
        <f t="shared" si="64"/>
        <v>2023</v>
      </c>
      <c r="AD324" t="str">
        <f t="shared" si="65"/>
        <v>rediffmail.com</v>
      </c>
    </row>
    <row r="325" spans="1:30" x14ac:dyDescent="0.3">
      <c r="A325" t="s">
        <v>58</v>
      </c>
      <c r="B325" t="s">
        <v>140</v>
      </c>
      <c r="C325" t="s">
        <v>239</v>
      </c>
      <c r="D325">
        <v>40</v>
      </c>
      <c r="E325" t="s">
        <v>290</v>
      </c>
      <c r="F325" t="s">
        <v>297</v>
      </c>
      <c r="G325" t="s">
        <v>339</v>
      </c>
      <c r="H325" t="s">
        <v>439</v>
      </c>
      <c r="I325" t="s">
        <v>822</v>
      </c>
      <c r="J325" s="1">
        <v>45527</v>
      </c>
      <c r="K325" t="s">
        <v>1322</v>
      </c>
      <c r="L325" t="s">
        <v>1534</v>
      </c>
      <c r="M325">
        <v>425.59</v>
      </c>
      <c r="N325">
        <v>5</v>
      </c>
      <c r="O325" t="s">
        <v>1547</v>
      </c>
      <c r="P325">
        <v>4</v>
      </c>
      <c r="Q325">
        <v>43</v>
      </c>
      <c r="R325" s="1">
        <v>45531</v>
      </c>
      <c r="S325" t="s">
        <v>1873</v>
      </c>
      <c r="T325">
        <f t="shared" si="55"/>
        <v>4</v>
      </c>
      <c r="U325">
        <f t="shared" si="56"/>
        <v>2127.9499999999998</v>
      </c>
      <c r="V325">
        <f t="shared" si="57"/>
        <v>2127.9499999999998</v>
      </c>
      <c r="W325">
        <f t="shared" si="58"/>
        <v>0</v>
      </c>
      <c r="X325">
        <f t="shared" si="59"/>
        <v>0</v>
      </c>
      <c r="Y325">
        <f t="shared" si="60"/>
        <v>2127.9499999999998</v>
      </c>
      <c r="Z325" t="str">
        <f t="shared" si="61"/>
        <v>Jason Lopez</v>
      </c>
      <c r="AA325" s="1" t="str">
        <f t="shared" si="62"/>
        <v>In Time</v>
      </c>
      <c r="AB325" t="str">
        <f t="shared" si="63"/>
        <v>Aug</v>
      </c>
      <c r="AC325" s="9">
        <f t="shared" si="64"/>
        <v>2024</v>
      </c>
      <c r="AD325" t="str">
        <f t="shared" si="65"/>
        <v>outlook.com</v>
      </c>
    </row>
    <row r="326" spans="1:30" x14ac:dyDescent="0.3">
      <c r="A326" t="s">
        <v>72</v>
      </c>
      <c r="B326" t="s">
        <v>144</v>
      </c>
      <c r="C326" t="s">
        <v>250</v>
      </c>
      <c r="D326">
        <v>30</v>
      </c>
      <c r="E326" t="s">
        <v>288</v>
      </c>
      <c r="F326" t="s">
        <v>298</v>
      </c>
      <c r="G326" t="s">
        <v>353</v>
      </c>
      <c r="H326" t="s">
        <v>453</v>
      </c>
      <c r="I326" t="s">
        <v>627</v>
      </c>
      <c r="J326" s="1">
        <v>45420</v>
      </c>
      <c r="K326" t="s">
        <v>1127</v>
      </c>
      <c r="L326" t="s">
        <v>1505</v>
      </c>
      <c r="M326">
        <v>48.45</v>
      </c>
      <c r="N326">
        <v>3</v>
      </c>
      <c r="O326" t="s">
        <v>1549</v>
      </c>
      <c r="P326">
        <v>2</v>
      </c>
      <c r="Q326">
        <v>63</v>
      </c>
      <c r="R326" s="1">
        <v>45422</v>
      </c>
      <c r="S326" t="s">
        <v>1679</v>
      </c>
      <c r="T326">
        <f t="shared" si="55"/>
        <v>2</v>
      </c>
      <c r="U326">
        <f t="shared" si="56"/>
        <v>145.35000000000002</v>
      </c>
      <c r="V326">
        <f t="shared" si="57"/>
        <v>208.35000000000002</v>
      </c>
      <c r="W326">
        <f t="shared" si="58"/>
        <v>0.1</v>
      </c>
      <c r="X326">
        <f t="shared" si="59"/>
        <v>14.535000000000004</v>
      </c>
      <c r="Y326">
        <f t="shared" si="60"/>
        <v>193.81500000000003</v>
      </c>
      <c r="Z326" t="str">
        <f t="shared" si="61"/>
        <v>Lauren Lane</v>
      </c>
      <c r="AA326" s="1" t="str">
        <f t="shared" si="62"/>
        <v>In Time</v>
      </c>
      <c r="AB326" t="str">
        <f t="shared" si="63"/>
        <v>May</v>
      </c>
      <c r="AC326" s="9">
        <f t="shared" si="64"/>
        <v>2024</v>
      </c>
      <c r="AD326" t="str">
        <f t="shared" si="65"/>
        <v>gmail.com</v>
      </c>
    </row>
    <row r="327" spans="1:30" x14ac:dyDescent="0.3">
      <c r="A327" t="s">
        <v>20</v>
      </c>
      <c r="B327" t="s">
        <v>120</v>
      </c>
      <c r="C327" t="s">
        <v>202</v>
      </c>
      <c r="D327">
        <v>55</v>
      </c>
      <c r="E327" t="s">
        <v>289</v>
      </c>
      <c r="F327" t="s">
        <v>293</v>
      </c>
      <c r="G327" t="s">
        <v>301</v>
      </c>
      <c r="H327" t="s">
        <v>401</v>
      </c>
      <c r="I327" t="s">
        <v>603</v>
      </c>
      <c r="J327" s="1">
        <v>45186</v>
      </c>
      <c r="K327" t="s">
        <v>1103</v>
      </c>
      <c r="L327" t="s">
        <v>1512</v>
      </c>
      <c r="M327">
        <v>104.18</v>
      </c>
      <c r="N327">
        <v>2</v>
      </c>
      <c r="O327" t="s">
        <v>2047</v>
      </c>
      <c r="P327">
        <v>4</v>
      </c>
      <c r="Q327">
        <v>43</v>
      </c>
      <c r="R327" s="1">
        <v>45190</v>
      </c>
      <c r="S327" t="s">
        <v>1655</v>
      </c>
      <c r="T327">
        <f t="shared" si="55"/>
        <v>4</v>
      </c>
      <c r="U327">
        <f t="shared" si="56"/>
        <v>208.36</v>
      </c>
      <c r="V327">
        <f t="shared" si="57"/>
        <v>251.36</v>
      </c>
      <c r="W327">
        <f t="shared" si="58"/>
        <v>0.08</v>
      </c>
      <c r="X327">
        <f t="shared" si="59"/>
        <v>16.668800000000001</v>
      </c>
      <c r="Y327">
        <f t="shared" si="60"/>
        <v>234.69120000000001</v>
      </c>
      <c r="Z327" t="str">
        <f t="shared" si="61"/>
        <v>Hannah Gutierrez</v>
      </c>
      <c r="AA327" s="1" t="str">
        <f t="shared" si="62"/>
        <v>In Time</v>
      </c>
      <c r="AB327" t="str">
        <f t="shared" si="63"/>
        <v>Sep</v>
      </c>
      <c r="AC327" s="9">
        <f t="shared" si="64"/>
        <v>2023</v>
      </c>
      <c r="AD327" t="str">
        <f t="shared" si="65"/>
        <v>yahoo.com</v>
      </c>
    </row>
    <row r="328" spans="1:30" x14ac:dyDescent="0.3">
      <c r="A328" t="s">
        <v>107</v>
      </c>
      <c r="B328" t="s">
        <v>122</v>
      </c>
      <c r="C328" t="s">
        <v>281</v>
      </c>
      <c r="D328">
        <v>40</v>
      </c>
      <c r="E328" t="s">
        <v>288</v>
      </c>
      <c r="F328" t="s">
        <v>295</v>
      </c>
      <c r="G328" t="s">
        <v>388</v>
      </c>
      <c r="H328" t="s">
        <v>488</v>
      </c>
      <c r="I328" t="s">
        <v>825</v>
      </c>
      <c r="J328" s="1">
        <v>45195</v>
      </c>
      <c r="K328" t="s">
        <v>1325</v>
      </c>
      <c r="L328" t="s">
        <v>1537</v>
      </c>
      <c r="M328">
        <v>445.81</v>
      </c>
      <c r="N328">
        <v>1</v>
      </c>
      <c r="O328" t="s">
        <v>1547</v>
      </c>
      <c r="P328">
        <v>1</v>
      </c>
      <c r="Q328">
        <v>51</v>
      </c>
      <c r="R328" s="1">
        <v>45198</v>
      </c>
      <c r="S328" t="s">
        <v>1876</v>
      </c>
      <c r="T328">
        <f t="shared" si="55"/>
        <v>3</v>
      </c>
      <c r="U328">
        <f t="shared" si="56"/>
        <v>445.81</v>
      </c>
      <c r="V328">
        <f t="shared" si="57"/>
        <v>445.81</v>
      </c>
      <c r="W328">
        <f t="shared" si="58"/>
        <v>0</v>
      </c>
      <c r="X328">
        <f t="shared" si="59"/>
        <v>0</v>
      </c>
      <c r="Y328">
        <f t="shared" si="60"/>
        <v>445.81</v>
      </c>
      <c r="Z328" t="str">
        <f t="shared" si="61"/>
        <v>Angela Casey</v>
      </c>
      <c r="AA328" s="1" t="str">
        <f t="shared" si="62"/>
        <v>Late</v>
      </c>
      <c r="AB328" t="str">
        <f t="shared" si="63"/>
        <v>Sep</v>
      </c>
      <c r="AC328" s="9">
        <f t="shared" si="64"/>
        <v>2023</v>
      </c>
      <c r="AD328" t="str">
        <f t="shared" si="65"/>
        <v>gmail.com</v>
      </c>
    </row>
    <row r="329" spans="1:30" x14ac:dyDescent="0.3">
      <c r="A329" t="s">
        <v>112</v>
      </c>
      <c r="B329" t="s">
        <v>164</v>
      </c>
      <c r="C329" t="s">
        <v>284</v>
      </c>
      <c r="D329">
        <v>40</v>
      </c>
      <c r="E329" t="s">
        <v>290</v>
      </c>
      <c r="F329" t="s">
        <v>298</v>
      </c>
      <c r="G329" t="s">
        <v>393</v>
      </c>
      <c r="H329" t="s">
        <v>493</v>
      </c>
      <c r="I329" t="s">
        <v>826</v>
      </c>
      <c r="J329" s="1">
        <v>45573</v>
      </c>
      <c r="K329" t="s">
        <v>1326</v>
      </c>
      <c r="L329" t="s">
        <v>1515</v>
      </c>
      <c r="M329">
        <v>132.97</v>
      </c>
      <c r="N329">
        <v>2</v>
      </c>
      <c r="O329" t="s">
        <v>1549</v>
      </c>
      <c r="P329">
        <v>6</v>
      </c>
      <c r="Q329">
        <v>69</v>
      </c>
      <c r="R329" s="1">
        <v>45578</v>
      </c>
      <c r="S329" t="s">
        <v>1877</v>
      </c>
      <c r="T329">
        <f t="shared" si="55"/>
        <v>5</v>
      </c>
      <c r="U329">
        <f t="shared" si="56"/>
        <v>265.94</v>
      </c>
      <c r="V329">
        <f t="shared" si="57"/>
        <v>334.94</v>
      </c>
      <c r="W329">
        <f t="shared" si="58"/>
        <v>0.1</v>
      </c>
      <c r="X329">
        <f t="shared" si="59"/>
        <v>26.594000000000001</v>
      </c>
      <c r="Y329">
        <f t="shared" si="60"/>
        <v>308.346</v>
      </c>
      <c r="Z329" t="str">
        <f t="shared" si="61"/>
        <v>Sarah Benson</v>
      </c>
      <c r="AA329" s="1" t="str">
        <f t="shared" si="62"/>
        <v>Before Time</v>
      </c>
      <c r="AB329" t="str">
        <f t="shared" si="63"/>
        <v>Oct</v>
      </c>
      <c r="AC329" s="9">
        <f t="shared" si="64"/>
        <v>2024</v>
      </c>
      <c r="AD329" t="str">
        <f t="shared" si="65"/>
        <v>outlook.com</v>
      </c>
    </row>
    <row r="330" spans="1:30" x14ac:dyDescent="0.3">
      <c r="A330" t="s">
        <v>20</v>
      </c>
      <c r="B330" t="s">
        <v>120</v>
      </c>
      <c r="C330" t="s">
        <v>202</v>
      </c>
      <c r="D330">
        <v>55</v>
      </c>
      <c r="E330" t="s">
        <v>289</v>
      </c>
      <c r="F330" t="s">
        <v>293</v>
      </c>
      <c r="G330" t="s">
        <v>301</v>
      </c>
      <c r="H330" t="s">
        <v>401</v>
      </c>
      <c r="I330" t="s">
        <v>623</v>
      </c>
      <c r="J330" s="1">
        <v>45384</v>
      </c>
      <c r="K330" t="s">
        <v>1123</v>
      </c>
      <c r="L330" t="s">
        <v>1519</v>
      </c>
      <c r="M330">
        <v>421.7</v>
      </c>
      <c r="N330">
        <v>4</v>
      </c>
      <c r="O330" t="s">
        <v>2047</v>
      </c>
      <c r="P330">
        <v>5</v>
      </c>
      <c r="Q330">
        <v>55</v>
      </c>
      <c r="R330" s="1">
        <v>45389</v>
      </c>
      <c r="S330" t="s">
        <v>1675</v>
      </c>
      <c r="T330">
        <f t="shared" si="55"/>
        <v>5</v>
      </c>
      <c r="U330">
        <f t="shared" si="56"/>
        <v>1686.8</v>
      </c>
      <c r="V330">
        <f t="shared" si="57"/>
        <v>1741.8</v>
      </c>
      <c r="W330">
        <f t="shared" si="58"/>
        <v>0.08</v>
      </c>
      <c r="X330">
        <f t="shared" si="59"/>
        <v>134.94399999999999</v>
      </c>
      <c r="Y330">
        <f t="shared" si="60"/>
        <v>1606.856</v>
      </c>
      <c r="Z330" t="str">
        <f t="shared" si="61"/>
        <v>Hannah Gutierrez</v>
      </c>
      <c r="AA330" s="1" t="str">
        <f t="shared" si="62"/>
        <v>In Time</v>
      </c>
      <c r="AB330" t="str">
        <f t="shared" si="63"/>
        <v>Apr</v>
      </c>
      <c r="AC330" s="9">
        <f t="shared" si="64"/>
        <v>2024</v>
      </c>
      <c r="AD330" t="str">
        <f t="shared" si="65"/>
        <v>yahoo.com</v>
      </c>
    </row>
    <row r="331" spans="1:30" x14ac:dyDescent="0.3">
      <c r="A331" t="s">
        <v>20</v>
      </c>
      <c r="B331" t="s">
        <v>120</v>
      </c>
      <c r="C331" t="s">
        <v>202</v>
      </c>
      <c r="D331">
        <v>55</v>
      </c>
      <c r="E331" t="s">
        <v>289</v>
      </c>
      <c r="F331" t="s">
        <v>293</v>
      </c>
      <c r="G331" t="s">
        <v>301</v>
      </c>
      <c r="H331" t="s">
        <v>401</v>
      </c>
      <c r="I331" t="s">
        <v>665</v>
      </c>
      <c r="J331" s="1">
        <v>45388</v>
      </c>
      <c r="K331" t="s">
        <v>1165</v>
      </c>
      <c r="L331" t="s">
        <v>1535</v>
      </c>
      <c r="M331">
        <v>477.52</v>
      </c>
      <c r="N331">
        <v>1</v>
      </c>
      <c r="O331" t="s">
        <v>1547</v>
      </c>
      <c r="P331">
        <v>7</v>
      </c>
      <c r="Q331">
        <v>48</v>
      </c>
      <c r="R331" s="1">
        <v>45393</v>
      </c>
      <c r="S331" t="s">
        <v>1717</v>
      </c>
      <c r="T331">
        <f t="shared" si="55"/>
        <v>5</v>
      </c>
      <c r="U331">
        <f t="shared" si="56"/>
        <v>477.52</v>
      </c>
      <c r="V331">
        <f t="shared" si="57"/>
        <v>477.52</v>
      </c>
      <c r="W331">
        <f t="shared" si="58"/>
        <v>0</v>
      </c>
      <c r="X331">
        <f t="shared" si="59"/>
        <v>0</v>
      </c>
      <c r="Y331">
        <f t="shared" si="60"/>
        <v>477.52</v>
      </c>
      <c r="Z331" t="str">
        <f t="shared" si="61"/>
        <v>Hannah Gutierrez</v>
      </c>
      <c r="AA331" s="1" t="str">
        <f t="shared" si="62"/>
        <v>Before Time</v>
      </c>
      <c r="AB331" t="str">
        <f t="shared" si="63"/>
        <v>Apr</v>
      </c>
      <c r="AC331" s="9">
        <f t="shared" si="64"/>
        <v>2024</v>
      </c>
      <c r="AD331" t="str">
        <f t="shared" si="65"/>
        <v>yahoo.com</v>
      </c>
    </row>
    <row r="332" spans="1:30" x14ac:dyDescent="0.3">
      <c r="A332" t="s">
        <v>64</v>
      </c>
      <c r="B332" t="s">
        <v>159</v>
      </c>
      <c r="C332" t="s">
        <v>245</v>
      </c>
      <c r="D332">
        <v>63</v>
      </c>
      <c r="E332" t="s">
        <v>288</v>
      </c>
      <c r="F332" t="s">
        <v>294</v>
      </c>
      <c r="G332" t="s">
        <v>345</v>
      </c>
      <c r="H332" t="s">
        <v>445</v>
      </c>
      <c r="I332" t="s">
        <v>829</v>
      </c>
      <c r="J332" s="1">
        <v>45623</v>
      </c>
      <c r="K332" t="s">
        <v>1329</v>
      </c>
      <c r="L332" t="s">
        <v>1542</v>
      </c>
      <c r="M332">
        <v>20</v>
      </c>
      <c r="N332">
        <v>2</v>
      </c>
      <c r="O332" t="s">
        <v>1547</v>
      </c>
      <c r="P332">
        <v>5</v>
      </c>
      <c r="Q332">
        <v>55</v>
      </c>
      <c r="R332" s="1">
        <v>45629</v>
      </c>
      <c r="S332" t="s">
        <v>1880</v>
      </c>
      <c r="T332">
        <f t="shared" si="55"/>
        <v>6</v>
      </c>
      <c r="U332">
        <f t="shared" si="56"/>
        <v>40</v>
      </c>
      <c r="V332">
        <f t="shared" si="57"/>
        <v>40</v>
      </c>
      <c r="W332">
        <f t="shared" si="58"/>
        <v>0</v>
      </c>
      <c r="X332">
        <f t="shared" si="59"/>
        <v>0</v>
      </c>
      <c r="Y332">
        <f t="shared" si="60"/>
        <v>40</v>
      </c>
      <c r="Z332" t="str">
        <f t="shared" si="61"/>
        <v>Rebecca Figueroa</v>
      </c>
      <c r="AA332" s="1" t="str">
        <f t="shared" si="62"/>
        <v>Late</v>
      </c>
      <c r="AB332" t="str">
        <f t="shared" si="63"/>
        <v>Nov</v>
      </c>
      <c r="AC332" s="9">
        <f t="shared" si="64"/>
        <v>2024</v>
      </c>
      <c r="AD332" t="str">
        <f t="shared" si="65"/>
        <v>outlook.com</v>
      </c>
    </row>
    <row r="333" spans="1:30" x14ac:dyDescent="0.3">
      <c r="A333" t="s">
        <v>44</v>
      </c>
      <c r="B333" t="s">
        <v>142</v>
      </c>
      <c r="C333" t="s">
        <v>225</v>
      </c>
      <c r="D333">
        <v>60</v>
      </c>
      <c r="E333" t="s">
        <v>290</v>
      </c>
      <c r="F333" t="s">
        <v>291</v>
      </c>
      <c r="G333" t="s">
        <v>325</v>
      </c>
      <c r="H333" t="s">
        <v>425</v>
      </c>
      <c r="I333" t="s">
        <v>830</v>
      </c>
      <c r="J333" s="1">
        <v>45498</v>
      </c>
      <c r="K333" t="s">
        <v>1330</v>
      </c>
      <c r="L333" t="s">
        <v>1539</v>
      </c>
      <c r="M333">
        <v>235.63</v>
      </c>
      <c r="N333">
        <v>1</v>
      </c>
      <c r="O333" t="s">
        <v>1549</v>
      </c>
      <c r="P333">
        <v>1</v>
      </c>
      <c r="Q333">
        <v>38</v>
      </c>
      <c r="R333" s="1">
        <v>45504</v>
      </c>
      <c r="S333" t="s">
        <v>1881</v>
      </c>
      <c r="T333">
        <f t="shared" si="55"/>
        <v>6</v>
      </c>
      <c r="U333">
        <f t="shared" si="56"/>
        <v>235.63</v>
      </c>
      <c r="V333">
        <f t="shared" si="57"/>
        <v>273.63</v>
      </c>
      <c r="W333">
        <f t="shared" si="58"/>
        <v>0.1</v>
      </c>
      <c r="X333">
        <f t="shared" si="59"/>
        <v>23.563000000000002</v>
      </c>
      <c r="Y333">
        <f t="shared" si="60"/>
        <v>250.06700000000001</v>
      </c>
      <c r="Z333" t="str">
        <f t="shared" si="61"/>
        <v>Ashley Rose</v>
      </c>
      <c r="AA333" s="1" t="str">
        <f t="shared" si="62"/>
        <v>Late</v>
      </c>
      <c r="AB333" t="str">
        <f t="shared" si="63"/>
        <v>Jul</v>
      </c>
      <c r="AC333" s="9">
        <f t="shared" si="64"/>
        <v>2024</v>
      </c>
      <c r="AD333" t="str">
        <f t="shared" si="65"/>
        <v>gmail.com</v>
      </c>
    </row>
    <row r="334" spans="1:30" x14ac:dyDescent="0.3">
      <c r="A334" t="s">
        <v>110</v>
      </c>
      <c r="B334" t="s">
        <v>195</v>
      </c>
      <c r="C334" t="s">
        <v>200</v>
      </c>
      <c r="D334">
        <v>50</v>
      </c>
      <c r="E334" t="s">
        <v>290</v>
      </c>
      <c r="F334" t="s">
        <v>297</v>
      </c>
      <c r="G334" t="s">
        <v>391</v>
      </c>
      <c r="H334" t="s">
        <v>491</v>
      </c>
      <c r="I334" t="s">
        <v>953</v>
      </c>
      <c r="J334" s="1">
        <v>45289</v>
      </c>
      <c r="K334" t="s">
        <v>1452</v>
      </c>
      <c r="L334" t="s">
        <v>1546</v>
      </c>
      <c r="M334">
        <v>33.49</v>
      </c>
      <c r="N334">
        <v>4</v>
      </c>
      <c r="O334" t="s">
        <v>1548</v>
      </c>
      <c r="P334">
        <v>4</v>
      </c>
      <c r="Q334">
        <v>67</v>
      </c>
      <c r="R334" s="1">
        <v>45294</v>
      </c>
      <c r="S334" t="s">
        <v>2001</v>
      </c>
      <c r="T334">
        <f t="shared" si="55"/>
        <v>5</v>
      </c>
      <c r="U334">
        <f t="shared" si="56"/>
        <v>133.96</v>
      </c>
      <c r="V334">
        <f t="shared" si="57"/>
        <v>200.96</v>
      </c>
      <c r="W334">
        <f t="shared" si="58"/>
        <v>0.15</v>
      </c>
      <c r="X334">
        <f t="shared" si="59"/>
        <v>20.094000000000001</v>
      </c>
      <c r="Y334">
        <f t="shared" si="60"/>
        <v>180.86600000000001</v>
      </c>
      <c r="Z334" t="str">
        <f t="shared" si="61"/>
        <v>Brendan Kelly</v>
      </c>
      <c r="AA334" s="1" t="str">
        <f t="shared" si="62"/>
        <v>Late</v>
      </c>
      <c r="AB334" t="str">
        <f t="shared" si="63"/>
        <v>Dec</v>
      </c>
      <c r="AC334" s="9">
        <f t="shared" si="64"/>
        <v>2023</v>
      </c>
      <c r="AD334" t="str">
        <f t="shared" si="65"/>
        <v>rediffmail.com</v>
      </c>
    </row>
    <row r="335" spans="1:30" x14ac:dyDescent="0.3">
      <c r="A335" t="s">
        <v>52</v>
      </c>
      <c r="B335" t="s">
        <v>150</v>
      </c>
      <c r="C335" t="s">
        <v>233</v>
      </c>
      <c r="D335">
        <v>23</v>
      </c>
      <c r="E335" t="s">
        <v>288</v>
      </c>
      <c r="F335" t="s">
        <v>291</v>
      </c>
      <c r="G335" t="s">
        <v>333</v>
      </c>
      <c r="H335" t="s">
        <v>433</v>
      </c>
      <c r="I335" t="s">
        <v>832</v>
      </c>
      <c r="J335" s="1">
        <v>45271</v>
      </c>
      <c r="K335" t="s">
        <v>1332</v>
      </c>
      <c r="L335" t="s">
        <v>1533</v>
      </c>
      <c r="M335">
        <v>136.30000000000001</v>
      </c>
      <c r="N335">
        <v>4</v>
      </c>
      <c r="O335" t="s">
        <v>1549</v>
      </c>
      <c r="P335">
        <v>1</v>
      </c>
      <c r="Q335">
        <v>35</v>
      </c>
      <c r="R335" s="1">
        <v>45275</v>
      </c>
      <c r="S335" t="s">
        <v>1883</v>
      </c>
      <c r="T335">
        <f t="shared" si="55"/>
        <v>4</v>
      </c>
      <c r="U335">
        <f t="shared" si="56"/>
        <v>545.20000000000005</v>
      </c>
      <c r="V335">
        <f t="shared" si="57"/>
        <v>580.20000000000005</v>
      </c>
      <c r="W335">
        <f t="shared" si="58"/>
        <v>0.1</v>
      </c>
      <c r="X335">
        <f t="shared" si="59"/>
        <v>54.52000000000001</v>
      </c>
      <c r="Y335">
        <f t="shared" si="60"/>
        <v>525.68000000000006</v>
      </c>
      <c r="Z335" t="str">
        <f t="shared" si="61"/>
        <v>Julie Meyer</v>
      </c>
      <c r="AA335" s="1" t="str">
        <f t="shared" si="62"/>
        <v>Late</v>
      </c>
      <c r="AB335" t="str">
        <f t="shared" si="63"/>
        <v>Dec</v>
      </c>
      <c r="AC335" s="9">
        <f t="shared" si="64"/>
        <v>2023</v>
      </c>
      <c r="AD335" t="str">
        <f t="shared" si="65"/>
        <v>yahoo.com</v>
      </c>
    </row>
    <row r="336" spans="1:30" x14ac:dyDescent="0.3">
      <c r="A336" t="s">
        <v>102</v>
      </c>
      <c r="B336" t="s">
        <v>190</v>
      </c>
      <c r="C336" t="s">
        <v>276</v>
      </c>
      <c r="D336">
        <v>49</v>
      </c>
      <c r="E336" t="s">
        <v>288</v>
      </c>
      <c r="F336" t="s">
        <v>292</v>
      </c>
      <c r="G336" t="s">
        <v>383</v>
      </c>
      <c r="H336" t="s">
        <v>483</v>
      </c>
      <c r="I336" t="s">
        <v>833</v>
      </c>
      <c r="J336" s="1">
        <v>45122</v>
      </c>
      <c r="K336" t="s">
        <v>1333</v>
      </c>
      <c r="L336" t="s">
        <v>1517</v>
      </c>
      <c r="M336">
        <v>282.63</v>
      </c>
      <c r="N336">
        <v>4</v>
      </c>
      <c r="O336" t="s">
        <v>1549</v>
      </c>
      <c r="P336">
        <v>1</v>
      </c>
      <c r="Q336">
        <v>48</v>
      </c>
      <c r="R336" s="1">
        <v>45125</v>
      </c>
      <c r="S336" t="s">
        <v>1884</v>
      </c>
      <c r="T336">
        <f t="shared" si="55"/>
        <v>3</v>
      </c>
      <c r="U336">
        <f t="shared" si="56"/>
        <v>1130.52</v>
      </c>
      <c r="V336">
        <f t="shared" si="57"/>
        <v>1178.52</v>
      </c>
      <c r="W336">
        <f t="shared" si="58"/>
        <v>0.1</v>
      </c>
      <c r="X336">
        <f t="shared" si="59"/>
        <v>113.05200000000001</v>
      </c>
      <c r="Y336">
        <f t="shared" si="60"/>
        <v>1065.4680000000001</v>
      </c>
      <c r="Z336" t="str">
        <f t="shared" si="61"/>
        <v>Natasha Michael</v>
      </c>
      <c r="AA336" s="1" t="str">
        <f t="shared" si="62"/>
        <v>Late</v>
      </c>
      <c r="AB336" t="str">
        <f t="shared" si="63"/>
        <v>Jul</v>
      </c>
      <c r="AC336" s="9">
        <f t="shared" si="64"/>
        <v>2023</v>
      </c>
      <c r="AD336" t="str">
        <f t="shared" si="65"/>
        <v>gmail.com</v>
      </c>
    </row>
    <row r="337" spans="1:30" x14ac:dyDescent="0.3">
      <c r="A337" t="s">
        <v>96</v>
      </c>
      <c r="B337" t="s">
        <v>185</v>
      </c>
      <c r="C337" t="s">
        <v>272</v>
      </c>
      <c r="D337">
        <v>26</v>
      </c>
      <c r="E337" t="s">
        <v>289</v>
      </c>
      <c r="F337" t="s">
        <v>293</v>
      </c>
      <c r="G337" t="s">
        <v>377</v>
      </c>
      <c r="H337" t="s">
        <v>477</v>
      </c>
      <c r="I337" t="s">
        <v>834</v>
      </c>
      <c r="J337" s="1">
        <v>45627</v>
      </c>
      <c r="K337" t="s">
        <v>1334</v>
      </c>
      <c r="L337" t="s">
        <v>1511</v>
      </c>
      <c r="M337">
        <v>272.51</v>
      </c>
      <c r="N337">
        <v>5</v>
      </c>
      <c r="O337" t="s">
        <v>1549</v>
      </c>
      <c r="P337">
        <v>4</v>
      </c>
      <c r="Q337">
        <v>45</v>
      </c>
      <c r="R337" s="1">
        <v>45630</v>
      </c>
      <c r="S337" t="s">
        <v>1885</v>
      </c>
      <c r="T337">
        <f t="shared" si="55"/>
        <v>3</v>
      </c>
      <c r="U337">
        <f t="shared" si="56"/>
        <v>1362.55</v>
      </c>
      <c r="V337">
        <f t="shared" si="57"/>
        <v>1407.55</v>
      </c>
      <c r="W337">
        <f t="shared" si="58"/>
        <v>0.1</v>
      </c>
      <c r="X337">
        <f t="shared" si="59"/>
        <v>136.255</v>
      </c>
      <c r="Y337">
        <f t="shared" si="60"/>
        <v>1271.2950000000001</v>
      </c>
      <c r="Z337" t="str">
        <f t="shared" si="61"/>
        <v>Leslie Montgomery</v>
      </c>
      <c r="AA337" s="1" t="str">
        <f t="shared" si="62"/>
        <v>Before Time</v>
      </c>
      <c r="AB337" t="str">
        <f t="shared" si="63"/>
        <v>Dec</v>
      </c>
      <c r="AC337" s="9">
        <f t="shared" si="64"/>
        <v>2024</v>
      </c>
      <c r="AD337" t="str">
        <f t="shared" si="65"/>
        <v>gmail.com</v>
      </c>
    </row>
    <row r="338" spans="1:30" x14ac:dyDescent="0.3">
      <c r="A338" t="s">
        <v>95</v>
      </c>
      <c r="B338" t="s">
        <v>184</v>
      </c>
      <c r="C338" t="s">
        <v>271</v>
      </c>
      <c r="D338">
        <v>60</v>
      </c>
      <c r="E338" t="s">
        <v>288</v>
      </c>
      <c r="F338" t="s">
        <v>294</v>
      </c>
      <c r="G338" t="s">
        <v>376</v>
      </c>
      <c r="H338" t="s">
        <v>476</v>
      </c>
      <c r="I338" t="s">
        <v>835</v>
      </c>
      <c r="J338" s="1">
        <v>45053</v>
      </c>
      <c r="K338" t="s">
        <v>1335</v>
      </c>
      <c r="L338" t="s">
        <v>1504</v>
      </c>
      <c r="M338">
        <v>275.44</v>
      </c>
      <c r="N338">
        <v>2</v>
      </c>
      <c r="O338" t="s">
        <v>1548</v>
      </c>
      <c r="P338">
        <v>4</v>
      </c>
      <c r="Q338">
        <v>54</v>
      </c>
      <c r="R338" s="1">
        <v>45059</v>
      </c>
      <c r="S338" t="s">
        <v>1886</v>
      </c>
      <c r="T338">
        <f t="shared" si="55"/>
        <v>6</v>
      </c>
      <c r="U338">
        <f t="shared" si="56"/>
        <v>550.88</v>
      </c>
      <c r="V338">
        <f t="shared" si="57"/>
        <v>604.88</v>
      </c>
      <c r="W338">
        <f t="shared" si="58"/>
        <v>0.15</v>
      </c>
      <c r="X338">
        <f t="shared" si="59"/>
        <v>82.631999999999991</v>
      </c>
      <c r="Y338">
        <f t="shared" si="60"/>
        <v>522.24800000000005</v>
      </c>
      <c r="Z338" t="str">
        <f t="shared" si="61"/>
        <v>James Brown</v>
      </c>
      <c r="AA338" s="1" t="str">
        <f t="shared" si="62"/>
        <v>Late</v>
      </c>
      <c r="AB338" t="str">
        <f t="shared" si="63"/>
        <v>May</v>
      </c>
      <c r="AC338" s="9">
        <f t="shared" si="64"/>
        <v>2023</v>
      </c>
      <c r="AD338" t="str">
        <f t="shared" si="65"/>
        <v>yahoo.com</v>
      </c>
    </row>
    <row r="339" spans="1:30" x14ac:dyDescent="0.3">
      <c r="A339" t="s">
        <v>55</v>
      </c>
      <c r="B339" t="s">
        <v>153</v>
      </c>
      <c r="C339" t="s">
        <v>236</v>
      </c>
      <c r="D339">
        <v>31</v>
      </c>
      <c r="E339" t="s">
        <v>290</v>
      </c>
      <c r="F339" t="s">
        <v>294</v>
      </c>
      <c r="G339" t="s">
        <v>336</v>
      </c>
      <c r="H339" t="s">
        <v>436</v>
      </c>
      <c r="I339" t="s">
        <v>836</v>
      </c>
      <c r="J339" s="1">
        <v>45148</v>
      </c>
      <c r="K339" t="s">
        <v>1336</v>
      </c>
      <c r="L339" t="s">
        <v>1499</v>
      </c>
      <c r="M339">
        <v>441.03</v>
      </c>
      <c r="N339">
        <v>2</v>
      </c>
      <c r="O339" t="s">
        <v>2047</v>
      </c>
      <c r="P339">
        <v>3</v>
      </c>
      <c r="Q339">
        <v>62</v>
      </c>
      <c r="R339" s="1">
        <v>45151</v>
      </c>
      <c r="S339" t="s">
        <v>1887</v>
      </c>
      <c r="T339">
        <f t="shared" si="55"/>
        <v>3</v>
      </c>
      <c r="U339">
        <f t="shared" si="56"/>
        <v>882.06</v>
      </c>
      <c r="V339">
        <f t="shared" si="57"/>
        <v>944.06</v>
      </c>
      <c r="W339">
        <f t="shared" si="58"/>
        <v>0.08</v>
      </c>
      <c r="X339">
        <f t="shared" si="59"/>
        <v>70.564799999999991</v>
      </c>
      <c r="Y339">
        <f t="shared" si="60"/>
        <v>873.49519999999995</v>
      </c>
      <c r="Z339" t="str">
        <f t="shared" si="61"/>
        <v>Timothy Hicks</v>
      </c>
      <c r="AA339" s="1" t="str">
        <f t="shared" si="62"/>
        <v>In Time</v>
      </c>
      <c r="AB339" t="str">
        <f t="shared" si="63"/>
        <v>Aug</v>
      </c>
      <c r="AC339" s="9">
        <f t="shared" si="64"/>
        <v>2023</v>
      </c>
      <c r="AD339" t="str">
        <f t="shared" si="65"/>
        <v>gmail.com</v>
      </c>
    </row>
    <row r="340" spans="1:30" x14ac:dyDescent="0.3">
      <c r="A340" t="s">
        <v>58</v>
      </c>
      <c r="B340" t="s">
        <v>140</v>
      </c>
      <c r="C340" t="s">
        <v>239</v>
      </c>
      <c r="D340">
        <v>40</v>
      </c>
      <c r="E340" t="s">
        <v>290</v>
      </c>
      <c r="F340" t="s">
        <v>297</v>
      </c>
      <c r="G340" t="s">
        <v>339</v>
      </c>
      <c r="H340" t="s">
        <v>439</v>
      </c>
      <c r="I340" t="s">
        <v>837</v>
      </c>
      <c r="J340" s="1">
        <v>45285</v>
      </c>
      <c r="K340" t="s">
        <v>1337</v>
      </c>
      <c r="L340" t="s">
        <v>1523</v>
      </c>
      <c r="M340">
        <v>129.75</v>
      </c>
      <c r="N340">
        <v>2</v>
      </c>
      <c r="O340" t="s">
        <v>1548</v>
      </c>
      <c r="P340">
        <v>1</v>
      </c>
      <c r="Q340">
        <v>62</v>
      </c>
      <c r="R340" s="1">
        <v>45290</v>
      </c>
      <c r="S340" t="s">
        <v>1888</v>
      </c>
      <c r="T340">
        <f t="shared" si="55"/>
        <v>5</v>
      </c>
      <c r="U340">
        <f t="shared" si="56"/>
        <v>259.5</v>
      </c>
      <c r="V340">
        <f t="shared" si="57"/>
        <v>321.5</v>
      </c>
      <c r="W340">
        <f t="shared" si="58"/>
        <v>0.15</v>
      </c>
      <c r="X340">
        <f t="shared" si="59"/>
        <v>38.924999999999997</v>
      </c>
      <c r="Y340">
        <f t="shared" si="60"/>
        <v>282.57499999999999</v>
      </c>
      <c r="Z340" t="str">
        <f t="shared" si="61"/>
        <v>Jason Lopez</v>
      </c>
      <c r="AA340" s="1" t="str">
        <f t="shared" si="62"/>
        <v>Late</v>
      </c>
      <c r="AB340" t="str">
        <f t="shared" si="63"/>
        <v>Dec</v>
      </c>
      <c r="AC340" s="9">
        <f t="shared" si="64"/>
        <v>2023</v>
      </c>
      <c r="AD340" t="str">
        <f t="shared" si="65"/>
        <v>outlook.com</v>
      </c>
    </row>
    <row r="341" spans="1:30" x14ac:dyDescent="0.3">
      <c r="A341" t="s">
        <v>111</v>
      </c>
      <c r="B341" t="s">
        <v>196</v>
      </c>
      <c r="C341" t="s">
        <v>239</v>
      </c>
      <c r="D341">
        <v>18</v>
      </c>
      <c r="E341" t="s">
        <v>289</v>
      </c>
      <c r="F341" t="s">
        <v>298</v>
      </c>
      <c r="G341" t="s">
        <v>392</v>
      </c>
      <c r="H341" t="s">
        <v>492</v>
      </c>
      <c r="I341" t="s">
        <v>838</v>
      </c>
      <c r="J341" s="1">
        <v>45682</v>
      </c>
      <c r="K341" t="s">
        <v>1338</v>
      </c>
      <c r="L341" t="s">
        <v>1535</v>
      </c>
      <c r="M341">
        <v>477.52</v>
      </c>
      <c r="N341">
        <v>3</v>
      </c>
      <c r="O341" t="s">
        <v>1550</v>
      </c>
      <c r="P341">
        <v>7</v>
      </c>
      <c r="Q341">
        <v>41</v>
      </c>
      <c r="R341" s="1">
        <v>45686</v>
      </c>
      <c r="S341" t="s">
        <v>1889</v>
      </c>
      <c r="T341">
        <f t="shared" si="55"/>
        <v>4</v>
      </c>
      <c r="U341">
        <f t="shared" si="56"/>
        <v>1432.56</v>
      </c>
      <c r="V341">
        <f t="shared" si="57"/>
        <v>1473.56</v>
      </c>
      <c r="W341">
        <f t="shared" si="58"/>
        <v>0.2</v>
      </c>
      <c r="X341">
        <f t="shared" si="59"/>
        <v>286.512</v>
      </c>
      <c r="Y341">
        <f t="shared" si="60"/>
        <v>1187.048</v>
      </c>
      <c r="Z341" t="str">
        <f t="shared" si="61"/>
        <v>Veronica Lopez</v>
      </c>
      <c r="AA341" s="1" t="str">
        <f t="shared" si="62"/>
        <v>Before Time</v>
      </c>
      <c r="AB341" t="str">
        <f t="shared" si="63"/>
        <v>Jan</v>
      </c>
      <c r="AC341" s="9">
        <f t="shared" si="64"/>
        <v>2025</v>
      </c>
      <c r="AD341" t="str">
        <f t="shared" si="65"/>
        <v>gmail.com</v>
      </c>
    </row>
    <row r="342" spans="1:30" x14ac:dyDescent="0.3">
      <c r="A342" t="s">
        <v>69</v>
      </c>
      <c r="B342" t="s">
        <v>163</v>
      </c>
      <c r="C342" t="s">
        <v>238</v>
      </c>
      <c r="D342">
        <v>57</v>
      </c>
      <c r="E342" t="s">
        <v>289</v>
      </c>
      <c r="F342" t="s">
        <v>298</v>
      </c>
      <c r="G342" t="s">
        <v>350</v>
      </c>
      <c r="H342" t="s">
        <v>450</v>
      </c>
      <c r="I342" t="s">
        <v>839</v>
      </c>
      <c r="J342" s="1">
        <v>45453</v>
      </c>
      <c r="K342" t="s">
        <v>1339</v>
      </c>
      <c r="L342" t="s">
        <v>1544</v>
      </c>
      <c r="M342">
        <v>107.47</v>
      </c>
      <c r="N342">
        <v>3</v>
      </c>
      <c r="O342" t="s">
        <v>1549</v>
      </c>
      <c r="P342">
        <v>4</v>
      </c>
      <c r="Q342">
        <v>59</v>
      </c>
      <c r="R342" s="1">
        <v>45454</v>
      </c>
      <c r="S342" t="s">
        <v>1890</v>
      </c>
      <c r="T342">
        <f t="shared" si="55"/>
        <v>1</v>
      </c>
      <c r="U342">
        <f t="shared" si="56"/>
        <v>322.40999999999997</v>
      </c>
      <c r="V342">
        <f t="shared" si="57"/>
        <v>381.40999999999997</v>
      </c>
      <c r="W342">
        <f t="shared" si="58"/>
        <v>0.1</v>
      </c>
      <c r="X342">
        <f t="shared" si="59"/>
        <v>32.241</v>
      </c>
      <c r="Y342">
        <f t="shared" si="60"/>
        <v>349.16899999999998</v>
      </c>
      <c r="Z342" t="str">
        <f t="shared" si="61"/>
        <v>Sharon Thompson</v>
      </c>
      <c r="AA342" s="1" t="str">
        <f t="shared" si="62"/>
        <v>Before Time</v>
      </c>
      <c r="AB342" t="str">
        <f t="shared" si="63"/>
        <v>Jun</v>
      </c>
      <c r="AC342" s="9">
        <f t="shared" si="64"/>
        <v>2024</v>
      </c>
      <c r="AD342" t="str">
        <f t="shared" si="65"/>
        <v>yahoo.com</v>
      </c>
    </row>
    <row r="343" spans="1:30" x14ac:dyDescent="0.3">
      <c r="A343" t="s">
        <v>92</v>
      </c>
      <c r="B343" t="s">
        <v>181</v>
      </c>
      <c r="C343" t="s">
        <v>268</v>
      </c>
      <c r="D343">
        <v>27</v>
      </c>
      <c r="E343" t="s">
        <v>288</v>
      </c>
      <c r="F343" t="s">
        <v>292</v>
      </c>
      <c r="G343" t="s">
        <v>373</v>
      </c>
      <c r="H343" t="s">
        <v>473</v>
      </c>
      <c r="I343" t="s">
        <v>840</v>
      </c>
      <c r="J343" s="1">
        <v>45185</v>
      </c>
      <c r="K343" t="s">
        <v>1340</v>
      </c>
      <c r="L343" t="s">
        <v>1522</v>
      </c>
      <c r="M343">
        <v>158.53</v>
      </c>
      <c r="N343">
        <v>2</v>
      </c>
      <c r="O343" t="s">
        <v>2047</v>
      </c>
      <c r="P343">
        <v>2</v>
      </c>
      <c r="Q343">
        <v>56</v>
      </c>
      <c r="R343" s="1">
        <v>45187</v>
      </c>
      <c r="S343" t="s">
        <v>1891</v>
      </c>
      <c r="T343">
        <f t="shared" si="55"/>
        <v>2</v>
      </c>
      <c r="U343">
        <f t="shared" si="56"/>
        <v>317.06</v>
      </c>
      <c r="V343">
        <f t="shared" si="57"/>
        <v>373.06</v>
      </c>
      <c r="W343">
        <f t="shared" si="58"/>
        <v>0.08</v>
      </c>
      <c r="X343">
        <f t="shared" si="59"/>
        <v>25.364800000000002</v>
      </c>
      <c r="Y343">
        <f t="shared" si="60"/>
        <v>347.6952</v>
      </c>
      <c r="Z343" t="str">
        <f t="shared" si="61"/>
        <v>Kristina Haynes</v>
      </c>
      <c r="AA343" s="1" t="str">
        <f t="shared" si="62"/>
        <v>In Time</v>
      </c>
      <c r="AB343" t="str">
        <f t="shared" si="63"/>
        <v>Sep</v>
      </c>
      <c r="AC343" s="9">
        <f t="shared" si="64"/>
        <v>2023</v>
      </c>
      <c r="AD343" t="str">
        <f t="shared" si="65"/>
        <v>yahoo.com</v>
      </c>
    </row>
    <row r="344" spans="1:30" x14ac:dyDescent="0.3">
      <c r="A344" t="s">
        <v>72</v>
      </c>
      <c r="B344" t="s">
        <v>144</v>
      </c>
      <c r="C344" t="s">
        <v>250</v>
      </c>
      <c r="D344">
        <v>30</v>
      </c>
      <c r="E344" t="s">
        <v>288</v>
      </c>
      <c r="F344" t="s">
        <v>298</v>
      </c>
      <c r="G344" t="s">
        <v>353</v>
      </c>
      <c r="H344" t="s">
        <v>453</v>
      </c>
      <c r="I344" t="s">
        <v>711</v>
      </c>
      <c r="J344" s="1">
        <v>45423</v>
      </c>
      <c r="K344" t="s">
        <v>1211</v>
      </c>
      <c r="L344" t="s">
        <v>1499</v>
      </c>
      <c r="M344">
        <v>441.03</v>
      </c>
      <c r="N344">
        <v>2</v>
      </c>
      <c r="O344" t="s">
        <v>1547</v>
      </c>
      <c r="P344">
        <v>4</v>
      </c>
      <c r="Q344">
        <v>55</v>
      </c>
      <c r="R344" s="1">
        <v>45429</v>
      </c>
      <c r="S344" t="s">
        <v>1762</v>
      </c>
      <c r="T344">
        <f t="shared" si="55"/>
        <v>6</v>
      </c>
      <c r="U344">
        <f t="shared" si="56"/>
        <v>882.06</v>
      </c>
      <c r="V344">
        <f t="shared" si="57"/>
        <v>882.06</v>
      </c>
      <c r="W344">
        <f t="shared" si="58"/>
        <v>0</v>
      </c>
      <c r="X344">
        <f t="shared" si="59"/>
        <v>0</v>
      </c>
      <c r="Y344">
        <f t="shared" si="60"/>
        <v>882.06</v>
      </c>
      <c r="Z344" t="str">
        <f t="shared" si="61"/>
        <v>Lauren Lane</v>
      </c>
      <c r="AA344" s="1" t="str">
        <f t="shared" si="62"/>
        <v>Late</v>
      </c>
      <c r="AB344" t="str">
        <f t="shared" si="63"/>
        <v>May</v>
      </c>
      <c r="AC344" s="9">
        <f t="shared" si="64"/>
        <v>2024</v>
      </c>
      <c r="AD344" t="str">
        <f t="shared" si="65"/>
        <v>gmail.com</v>
      </c>
    </row>
    <row r="345" spans="1:30" x14ac:dyDescent="0.3">
      <c r="A345" t="s">
        <v>91</v>
      </c>
      <c r="B345" t="s">
        <v>180</v>
      </c>
      <c r="C345" t="s">
        <v>267</v>
      </c>
      <c r="D345">
        <v>43</v>
      </c>
      <c r="E345" t="s">
        <v>290</v>
      </c>
      <c r="F345" t="s">
        <v>293</v>
      </c>
      <c r="G345" t="s">
        <v>372</v>
      </c>
      <c r="H345" t="s">
        <v>472</v>
      </c>
      <c r="I345" t="s">
        <v>842</v>
      </c>
      <c r="J345" s="1">
        <v>44966</v>
      </c>
      <c r="K345" t="s">
        <v>1342</v>
      </c>
      <c r="L345" t="s">
        <v>1532</v>
      </c>
      <c r="M345">
        <v>87.09</v>
      </c>
      <c r="N345">
        <v>5</v>
      </c>
      <c r="O345" t="s">
        <v>1547</v>
      </c>
      <c r="P345">
        <v>7</v>
      </c>
      <c r="Q345">
        <v>56</v>
      </c>
      <c r="R345" s="1">
        <v>44971</v>
      </c>
      <c r="S345" t="s">
        <v>1893</v>
      </c>
      <c r="T345">
        <f t="shared" si="55"/>
        <v>5</v>
      </c>
      <c r="U345">
        <f t="shared" si="56"/>
        <v>435.45000000000005</v>
      </c>
      <c r="V345">
        <f t="shared" si="57"/>
        <v>435.45000000000005</v>
      </c>
      <c r="W345">
        <f t="shared" si="58"/>
        <v>0</v>
      </c>
      <c r="X345">
        <f t="shared" si="59"/>
        <v>0</v>
      </c>
      <c r="Y345">
        <f t="shared" si="60"/>
        <v>435.45000000000005</v>
      </c>
      <c r="Z345" t="str">
        <f t="shared" si="61"/>
        <v>Barbara Fuller</v>
      </c>
      <c r="AA345" s="1" t="str">
        <f t="shared" si="62"/>
        <v>Before Time</v>
      </c>
      <c r="AB345" t="str">
        <f t="shared" si="63"/>
        <v>Feb</v>
      </c>
      <c r="AC345" s="9">
        <f t="shared" si="64"/>
        <v>2023</v>
      </c>
      <c r="AD345" t="str">
        <f t="shared" si="65"/>
        <v>rediffmail.com</v>
      </c>
    </row>
    <row r="346" spans="1:30" x14ac:dyDescent="0.3">
      <c r="A346" t="s">
        <v>41</v>
      </c>
      <c r="B346" t="s">
        <v>122</v>
      </c>
      <c r="C346" t="s">
        <v>222</v>
      </c>
      <c r="D346">
        <v>52</v>
      </c>
      <c r="E346" t="s">
        <v>290</v>
      </c>
      <c r="F346" t="s">
        <v>292</v>
      </c>
      <c r="G346" t="s">
        <v>322</v>
      </c>
      <c r="H346" t="s">
        <v>422</v>
      </c>
      <c r="I346" t="s">
        <v>843</v>
      </c>
      <c r="J346" s="1">
        <v>45303</v>
      </c>
      <c r="K346" t="s">
        <v>1343</v>
      </c>
      <c r="L346" t="s">
        <v>1512</v>
      </c>
      <c r="M346">
        <v>104.18</v>
      </c>
      <c r="N346">
        <v>4</v>
      </c>
      <c r="O346" t="s">
        <v>1547</v>
      </c>
      <c r="P346">
        <v>3</v>
      </c>
      <c r="Q346">
        <v>40</v>
      </c>
      <c r="R346" s="1">
        <v>45308</v>
      </c>
      <c r="S346" t="s">
        <v>1894</v>
      </c>
      <c r="T346">
        <f t="shared" si="55"/>
        <v>5</v>
      </c>
      <c r="U346">
        <f t="shared" si="56"/>
        <v>416.72</v>
      </c>
      <c r="V346">
        <f t="shared" si="57"/>
        <v>416.72</v>
      </c>
      <c r="W346">
        <f t="shared" si="58"/>
        <v>0</v>
      </c>
      <c r="X346">
        <f t="shared" si="59"/>
        <v>0</v>
      </c>
      <c r="Y346">
        <f t="shared" si="60"/>
        <v>416.72</v>
      </c>
      <c r="Z346" t="str">
        <f t="shared" si="61"/>
        <v>Angela Evans</v>
      </c>
      <c r="AA346" s="1" t="str">
        <f t="shared" si="62"/>
        <v>Late</v>
      </c>
      <c r="AB346" t="str">
        <f t="shared" si="63"/>
        <v>Jan</v>
      </c>
      <c r="AC346" s="9">
        <f t="shared" si="64"/>
        <v>2024</v>
      </c>
      <c r="AD346" t="str">
        <f t="shared" si="65"/>
        <v>outlook.com</v>
      </c>
    </row>
    <row r="347" spans="1:30" x14ac:dyDescent="0.3">
      <c r="A347" t="s">
        <v>71</v>
      </c>
      <c r="B347" t="s">
        <v>165</v>
      </c>
      <c r="C347" t="s">
        <v>249</v>
      </c>
      <c r="D347">
        <v>42</v>
      </c>
      <c r="E347" t="s">
        <v>290</v>
      </c>
      <c r="F347" t="s">
        <v>295</v>
      </c>
      <c r="G347" t="s">
        <v>352</v>
      </c>
      <c r="H347" t="s">
        <v>452</v>
      </c>
      <c r="I347" t="s">
        <v>844</v>
      </c>
      <c r="J347" s="1">
        <v>45666</v>
      </c>
      <c r="K347" t="s">
        <v>1344</v>
      </c>
      <c r="L347" t="s">
        <v>1546</v>
      </c>
      <c r="M347">
        <v>33.49</v>
      </c>
      <c r="N347">
        <v>1</v>
      </c>
      <c r="O347" t="s">
        <v>1550</v>
      </c>
      <c r="P347">
        <v>4</v>
      </c>
      <c r="Q347">
        <v>61</v>
      </c>
      <c r="R347" s="1">
        <v>45668</v>
      </c>
      <c r="S347" t="s">
        <v>1895</v>
      </c>
      <c r="T347">
        <f t="shared" si="55"/>
        <v>2</v>
      </c>
      <c r="U347">
        <f t="shared" si="56"/>
        <v>33.49</v>
      </c>
      <c r="V347">
        <f t="shared" si="57"/>
        <v>94.490000000000009</v>
      </c>
      <c r="W347">
        <f t="shared" si="58"/>
        <v>0.2</v>
      </c>
      <c r="X347">
        <f t="shared" si="59"/>
        <v>6.6980000000000004</v>
      </c>
      <c r="Y347">
        <f t="shared" si="60"/>
        <v>87.792000000000002</v>
      </c>
      <c r="Z347" t="str">
        <f t="shared" si="61"/>
        <v>Katherine Weber</v>
      </c>
      <c r="AA347" s="1" t="str">
        <f t="shared" si="62"/>
        <v>Before Time</v>
      </c>
      <c r="AB347" t="str">
        <f t="shared" si="63"/>
        <v>Jan</v>
      </c>
      <c r="AC347" s="9">
        <f t="shared" si="64"/>
        <v>2025</v>
      </c>
      <c r="AD347" t="str">
        <f t="shared" si="65"/>
        <v>outlook.com</v>
      </c>
    </row>
    <row r="348" spans="1:30" x14ac:dyDescent="0.3">
      <c r="A348" t="s">
        <v>72</v>
      </c>
      <c r="B348" t="s">
        <v>144</v>
      </c>
      <c r="C348" t="s">
        <v>250</v>
      </c>
      <c r="D348">
        <v>30</v>
      </c>
      <c r="E348" t="s">
        <v>288</v>
      </c>
      <c r="F348" t="s">
        <v>298</v>
      </c>
      <c r="G348" t="s">
        <v>353</v>
      </c>
      <c r="H348" t="s">
        <v>453</v>
      </c>
      <c r="I348" t="s">
        <v>799</v>
      </c>
      <c r="J348" s="1">
        <v>45386</v>
      </c>
      <c r="K348" t="s">
        <v>1299</v>
      </c>
      <c r="L348" t="s">
        <v>1538</v>
      </c>
      <c r="M348">
        <v>433.62</v>
      </c>
      <c r="N348">
        <v>4</v>
      </c>
      <c r="O348" t="s">
        <v>1547</v>
      </c>
      <c r="P348">
        <v>1</v>
      </c>
      <c r="Q348">
        <v>56</v>
      </c>
      <c r="R348" s="1">
        <v>45392</v>
      </c>
      <c r="S348" t="s">
        <v>1850</v>
      </c>
      <c r="T348">
        <f t="shared" si="55"/>
        <v>6</v>
      </c>
      <c r="U348">
        <f t="shared" si="56"/>
        <v>1734.48</v>
      </c>
      <c r="V348">
        <f t="shared" si="57"/>
        <v>1734.48</v>
      </c>
      <c r="W348">
        <f t="shared" si="58"/>
        <v>0</v>
      </c>
      <c r="X348">
        <f t="shared" si="59"/>
        <v>0</v>
      </c>
      <c r="Y348">
        <f t="shared" si="60"/>
        <v>1734.48</v>
      </c>
      <c r="Z348" t="str">
        <f t="shared" si="61"/>
        <v>Lauren Lane</v>
      </c>
      <c r="AA348" s="1" t="str">
        <f t="shared" si="62"/>
        <v>Late</v>
      </c>
      <c r="AB348" t="str">
        <f t="shared" si="63"/>
        <v>Apr</v>
      </c>
      <c r="AC348" s="9">
        <f t="shared" si="64"/>
        <v>2024</v>
      </c>
      <c r="AD348" t="str">
        <f t="shared" si="65"/>
        <v>gmail.com</v>
      </c>
    </row>
    <row r="349" spans="1:30" x14ac:dyDescent="0.3">
      <c r="A349" t="s">
        <v>106</v>
      </c>
      <c r="B349" t="s">
        <v>154</v>
      </c>
      <c r="C349" t="s">
        <v>280</v>
      </c>
      <c r="D349">
        <v>34</v>
      </c>
      <c r="E349" t="s">
        <v>290</v>
      </c>
      <c r="F349" t="s">
        <v>298</v>
      </c>
      <c r="G349" t="s">
        <v>387</v>
      </c>
      <c r="H349" t="s">
        <v>487</v>
      </c>
      <c r="I349" t="s">
        <v>846</v>
      </c>
      <c r="J349" s="1">
        <v>45085</v>
      </c>
      <c r="K349" t="s">
        <v>1346</v>
      </c>
      <c r="L349" t="s">
        <v>1513</v>
      </c>
      <c r="M349">
        <v>20.7</v>
      </c>
      <c r="N349">
        <v>1</v>
      </c>
      <c r="O349" t="s">
        <v>1547</v>
      </c>
      <c r="P349">
        <v>5</v>
      </c>
      <c r="Q349">
        <v>51</v>
      </c>
      <c r="R349" s="1">
        <v>45086</v>
      </c>
      <c r="S349" t="s">
        <v>1897</v>
      </c>
      <c r="T349">
        <f t="shared" si="55"/>
        <v>1</v>
      </c>
      <c r="U349">
        <f t="shared" si="56"/>
        <v>20.7</v>
      </c>
      <c r="V349">
        <f t="shared" si="57"/>
        <v>20.7</v>
      </c>
      <c r="W349">
        <f t="shared" si="58"/>
        <v>0</v>
      </c>
      <c r="X349">
        <f t="shared" si="59"/>
        <v>0</v>
      </c>
      <c r="Y349">
        <f t="shared" si="60"/>
        <v>20.7</v>
      </c>
      <c r="Z349" t="str">
        <f t="shared" si="61"/>
        <v>Thomas Owens</v>
      </c>
      <c r="AA349" s="1" t="str">
        <f t="shared" si="62"/>
        <v>Before Time</v>
      </c>
      <c r="AB349" t="str">
        <f t="shared" si="63"/>
        <v>Jun</v>
      </c>
      <c r="AC349" s="9">
        <f t="shared" si="64"/>
        <v>2023</v>
      </c>
      <c r="AD349" t="str">
        <f t="shared" si="65"/>
        <v>outlook.com</v>
      </c>
    </row>
    <row r="350" spans="1:30" x14ac:dyDescent="0.3">
      <c r="A350" t="s">
        <v>62</v>
      </c>
      <c r="B350" t="s">
        <v>126</v>
      </c>
      <c r="C350" t="s">
        <v>243</v>
      </c>
      <c r="D350">
        <v>36</v>
      </c>
      <c r="E350" t="s">
        <v>289</v>
      </c>
      <c r="F350" t="s">
        <v>291</v>
      </c>
      <c r="G350" t="s">
        <v>343</v>
      </c>
      <c r="H350" t="s">
        <v>443</v>
      </c>
      <c r="I350" t="s">
        <v>847</v>
      </c>
      <c r="J350" s="1">
        <v>45028</v>
      </c>
      <c r="K350" t="s">
        <v>1347</v>
      </c>
      <c r="L350" t="s">
        <v>1499</v>
      </c>
      <c r="M350">
        <v>441.03</v>
      </c>
      <c r="N350">
        <v>2</v>
      </c>
      <c r="O350" t="s">
        <v>1549</v>
      </c>
      <c r="P350">
        <v>4</v>
      </c>
      <c r="Q350">
        <v>60</v>
      </c>
      <c r="R350" s="1">
        <v>45033</v>
      </c>
      <c r="S350" t="s">
        <v>1898</v>
      </c>
      <c r="T350">
        <f t="shared" si="55"/>
        <v>5</v>
      </c>
      <c r="U350">
        <f t="shared" si="56"/>
        <v>882.06</v>
      </c>
      <c r="V350">
        <f t="shared" si="57"/>
        <v>942.06</v>
      </c>
      <c r="W350">
        <f t="shared" si="58"/>
        <v>0.1</v>
      </c>
      <c r="X350">
        <f t="shared" si="59"/>
        <v>88.206000000000003</v>
      </c>
      <c r="Y350">
        <f t="shared" si="60"/>
        <v>853.85399999999993</v>
      </c>
      <c r="Z350" t="str">
        <f t="shared" si="61"/>
        <v>Marcus Rogers</v>
      </c>
      <c r="AA350" s="1" t="str">
        <f t="shared" si="62"/>
        <v>Late</v>
      </c>
      <c r="AB350" t="str">
        <f t="shared" si="63"/>
        <v>Apr</v>
      </c>
      <c r="AC350" s="9">
        <f t="shared" si="64"/>
        <v>2023</v>
      </c>
      <c r="AD350" t="str">
        <f t="shared" si="65"/>
        <v>outlook.com</v>
      </c>
    </row>
    <row r="351" spans="1:30" x14ac:dyDescent="0.3">
      <c r="A351" t="s">
        <v>110</v>
      </c>
      <c r="B351" t="s">
        <v>195</v>
      </c>
      <c r="C351" t="s">
        <v>200</v>
      </c>
      <c r="D351">
        <v>50</v>
      </c>
      <c r="E351" t="s">
        <v>290</v>
      </c>
      <c r="F351" t="s">
        <v>297</v>
      </c>
      <c r="G351" t="s">
        <v>391</v>
      </c>
      <c r="H351" t="s">
        <v>491</v>
      </c>
      <c r="I351" t="s">
        <v>968</v>
      </c>
      <c r="J351" s="1">
        <v>45183</v>
      </c>
      <c r="K351" t="s">
        <v>1467</v>
      </c>
      <c r="L351" t="s">
        <v>1538</v>
      </c>
      <c r="M351">
        <v>433.62</v>
      </c>
      <c r="N351">
        <v>2</v>
      </c>
      <c r="O351" t="s">
        <v>1547</v>
      </c>
      <c r="P351">
        <v>1</v>
      </c>
      <c r="Q351">
        <v>46</v>
      </c>
      <c r="R351" s="1">
        <v>45186</v>
      </c>
      <c r="S351" t="s">
        <v>2016</v>
      </c>
      <c r="T351">
        <f t="shared" si="55"/>
        <v>3</v>
      </c>
      <c r="U351">
        <f t="shared" si="56"/>
        <v>867.24</v>
      </c>
      <c r="V351">
        <f t="shared" si="57"/>
        <v>867.24</v>
      </c>
      <c r="W351">
        <f t="shared" si="58"/>
        <v>0</v>
      </c>
      <c r="X351">
        <f t="shared" si="59"/>
        <v>0</v>
      </c>
      <c r="Y351">
        <f t="shared" si="60"/>
        <v>867.24</v>
      </c>
      <c r="Z351" t="str">
        <f t="shared" si="61"/>
        <v>Brendan Kelly</v>
      </c>
      <c r="AA351" s="1" t="str">
        <f t="shared" si="62"/>
        <v>Late</v>
      </c>
      <c r="AB351" t="str">
        <f t="shared" si="63"/>
        <v>Sep</v>
      </c>
      <c r="AC351" s="9">
        <f t="shared" si="64"/>
        <v>2023</v>
      </c>
      <c r="AD351" t="str">
        <f t="shared" si="65"/>
        <v>rediffmail.com</v>
      </c>
    </row>
    <row r="352" spans="1:30" x14ac:dyDescent="0.3">
      <c r="A352" t="s">
        <v>38</v>
      </c>
      <c r="B352" t="s">
        <v>138</v>
      </c>
      <c r="C352" t="s">
        <v>219</v>
      </c>
      <c r="D352">
        <v>39</v>
      </c>
      <c r="E352" t="s">
        <v>289</v>
      </c>
      <c r="F352" t="s">
        <v>293</v>
      </c>
      <c r="G352" t="s">
        <v>319</v>
      </c>
      <c r="H352" t="s">
        <v>419</v>
      </c>
      <c r="I352" t="s">
        <v>849</v>
      </c>
      <c r="J352" s="1">
        <v>45387</v>
      </c>
      <c r="K352" t="s">
        <v>1349</v>
      </c>
      <c r="L352" t="s">
        <v>1540</v>
      </c>
      <c r="M352">
        <v>424.82</v>
      </c>
      <c r="N352">
        <v>5</v>
      </c>
      <c r="O352" t="s">
        <v>1549</v>
      </c>
      <c r="P352">
        <v>7</v>
      </c>
      <c r="Q352">
        <v>37</v>
      </c>
      <c r="R352" s="1">
        <v>45393</v>
      </c>
      <c r="S352" t="s">
        <v>1900</v>
      </c>
      <c r="T352">
        <f t="shared" si="55"/>
        <v>6</v>
      </c>
      <c r="U352">
        <f t="shared" si="56"/>
        <v>2124.1</v>
      </c>
      <c r="V352">
        <f t="shared" si="57"/>
        <v>2161.1</v>
      </c>
      <c r="W352">
        <f t="shared" si="58"/>
        <v>0.1</v>
      </c>
      <c r="X352">
        <f t="shared" si="59"/>
        <v>212.41</v>
      </c>
      <c r="Y352">
        <f t="shared" si="60"/>
        <v>1948.6899999999998</v>
      </c>
      <c r="Z352" t="str">
        <f t="shared" si="61"/>
        <v>Christian Clayton</v>
      </c>
      <c r="AA352" s="1" t="str">
        <f t="shared" si="62"/>
        <v>Before Time</v>
      </c>
      <c r="AB352" t="str">
        <f t="shared" si="63"/>
        <v>Apr</v>
      </c>
      <c r="AC352" s="9">
        <f t="shared" si="64"/>
        <v>2024</v>
      </c>
      <c r="AD352" t="str">
        <f t="shared" si="65"/>
        <v>yahoo.com</v>
      </c>
    </row>
    <row r="353" spans="1:30" x14ac:dyDescent="0.3">
      <c r="A353" t="s">
        <v>82</v>
      </c>
      <c r="B353" t="s">
        <v>172</v>
      </c>
      <c r="C353" t="s">
        <v>259</v>
      </c>
      <c r="D353">
        <v>38</v>
      </c>
      <c r="E353" t="s">
        <v>289</v>
      </c>
      <c r="F353" t="s">
        <v>298</v>
      </c>
      <c r="G353" t="s">
        <v>363</v>
      </c>
      <c r="H353" t="s">
        <v>463</v>
      </c>
      <c r="I353" t="s">
        <v>850</v>
      </c>
      <c r="J353" s="1">
        <v>45496</v>
      </c>
      <c r="K353" t="s">
        <v>1350</v>
      </c>
      <c r="L353" t="s">
        <v>1538</v>
      </c>
      <c r="M353">
        <v>433.62</v>
      </c>
      <c r="N353">
        <v>3</v>
      </c>
      <c r="O353" t="s">
        <v>1549</v>
      </c>
      <c r="P353">
        <v>2</v>
      </c>
      <c r="Q353">
        <v>39</v>
      </c>
      <c r="R353" s="1">
        <v>45499</v>
      </c>
      <c r="S353" t="s">
        <v>1901</v>
      </c>
      <c r="T353">
        <f t="shared" si="55"/>
        <v>3</v>
      </c>
      <c r="U353">
        <f t="shared" si="56"/>
        <v>1300.8600000000001</v>
      </c>
      <c r="V353">
        <f t="shared" si="57"/>
        <v>1339.8600000000001</v>
      </c>
      <c r="W353">
        <f t="shared" si="58"/>
        <v>0.1</v>
      </c>
      <c r="X353">
        <f t="shared" si="59"/>
        <v>130.08600000000001</v>
      </c>
      <c r="Y353">
        <f t="shared" si="60"/>
        <v>1209.7740000000001</v>
      </c>
      <c r="Z353" t="str">
        <f t="shared" si="61"/>
        <v>Christy Chang</v>
      </c>
      <c r="AA353" s="1" t="str">
        <f t="shared" si="62"/>
        <v>Late</v>
      </c>
      <c r="AB353" t="str">
        <f t="shared" si="63"/>
        <v>Jul</v>
      </c>
      <c r="AC353" s="9">
        <f t="shared" si="64"/>
        <v>2024</v>
      </c>
      <c r="AD353" t="str">
        <f t="shared" si="65"/>
        <v>outlook.com</v>
      </c>
    </row>
    <row r="354" spans="1:30" x14ac:dyDescent="0.3">
      <c r="A354" t="s">
        <v>97</v>
      </c>
      <c r="B354" t="s">
        <v>186</v>
      </c>
      <c r="C354" t="s">
        <v>238</v>
      </c>
      <c r="D354">
        <v>37</v>
      </c>
      <c r="E354" t="s">
        <v>290</v>
      </c>
      <c r="F354" t="s">
        <v>298</v>
      </c>
      <c r="G354" t="s">
        <v>378</v>
      </c>
      <c r="H354" t="s">
        <v>478</v>
      </c>
      <c r="I354" t="s">
        <v>851</v>
      </c>
      <c r="J354" s="1">
        <v>45187</v>
      </c>
      <c r="K354" t="s">
        <v>1351</v>
      </c>
      <c r="L354" t="s">
        <v>1539</v>
      </c>
      <c r="M354">
        <v>235.63</v>
      </c>
      <c r="N354">
        <v>1</v>
      </c>
      <c r="O354" t="s">
        <v>1550</v>
      </c>
      <c r="P354">
        <v>5</v>
      </c>
      <c r="Q354">
        <v>59</v>
      </c>
      <c r="R354" s="1">
        <v>45192</v>
      </c>
      <c r="S354" t="s">
        <v>1902</v>
      </c>
      <c r="T354">
        <f t="shared" si="55"/>
        <v>5</v>
      </c>
      <c r="U354">
        <f t="shared" si="56"/>
        <v>235.63</v>
      </c>
      <c r="V354">
        <f t="shared" si="57"/>
        <v>294.63</v>
      </c>
      <c r="W354">
        <f t="shared" si="58"/>
        <v>0.2</v>
      </c>
      <c r="X354">
        <f t="shared" si="59"/>
        <v>47.126000000000005</v>
      </c>
      <c r="Y354">
        <f t="shared" si="60"/>
        <v>247.50399999999999</v>
      </c>
      <c r="Z354" t="str">
        <f t="shared" si="61"/>
        <v>Susan Thompson</v>
      </c>
      <c r="AA354" s="1" t="str">
        <f t="shared" si="62"/>
        <v>In Time</v>
      </c>
      <c r="AB354" t="str">
        <f t="shared" si="63"/>
        <v>Sep</v>
      </c>
      <c r="AC354" s="9">
        <f t="shared" si="64"/>
        <v>2023</v>
      </c>
      <c r="AD354" t="str">
        <f t="shared" si="65"/>
        <v>outlook.com</v>
      </c>
    </row>
    <row r="355" spans="1:30" x14ac:dyDescent="0.3">
      <c r="A355" t="s">
        <v>112</v>
      </c>
      <c r="B355" t="s">
        <v>164</v>
      </c>
      <c r="C355" t="s">
        <v>284</v>
      </c>
      <c r="D355">
        <v>40</v>
      </c>
      <c r="E355" t="s">
        <v>290</v>
      </c>
      <c r="F355" t="s">
        <v>298</v>
      </c>
      <c r="G355" t="s">
        <v>393</v>
      </c>
      <c r="H355" t="s">
        <v>493</v>
      </c>
      <c r="I355" t="s">
        <v>852</v>
      </c>
      <c r="J355" s="1">
        <v>45190</v>
      </c>
      <c r="K355" t="s">
        <v>1352</v>
      </c>
      <c r="L355" t="s">
        <v>1519</v>
      </c>
      <c r="M355">
        <v>421.7</v>
      </c>
      <c r="N355">
        <v>5</v>
      </c>
      <c r="O355" t="s">
        <v>1548</v>
      </c>
      <c r="P355">
        <v>6</v>
      </c>
      <c r="Q355">
        <v>58</v>
      </c>
      <c r="R355" s="1">
        <v>45197</v>
      </c>
      <c r="S355" t="s">
        <v>1903</v>
      </c>
      <c r="T355">
        <f t="shared" si="55"/>
        <v>7</v>
      </c>
      <c r="U355">
        <f t="shared" si="56"/>
        <v>2108.5</v>
      </c>
      <c r="V355">
        <f t="shared" si="57"/>
        <v>2166.5</v>
      </c>
      <c r="W355">
        <f t="shared" si="58"/>
        <v>0.15</v>
      </c>
      <c r="X355">
        <f t="shared" si="59"/>
        <v>316.27499999999998</v>
      </c>
      <c r="Y355">
        <f t="shared" si="60"/>
        <v>1850.2249999999999</v>
      </c>
      <c r="Z355" t="str">
        <f t="shared" si="61"/>
        <v>Sarah Benson</v>
      </c>
      <c r="AA355" s="1" t="str">
        <f t="shared" si="62"/>
        <v>Late</v>
      </c>
      <c r="AB355" t="str">
        <f t="shared" si="63"/>
        <v>Sep</v>
      </c>
      <c r="AC355" s="9">
        <f t="shared" si="64"/>
        <v>2023</v>
      </c>
      <c r="AD355" t="str">
        <f t="shared" si="65"/>
        <v>outlook.com</v>
      </c>
    </row>
    <row r="356" spans="1:30" x14ac:dyDescent="0.3">
      <c r="A356" t="s">
        <v>69</v>
      </c>
      <c r="B356" t="s">
        <v>163</v>
      </c>
      <c r="C356" t="s">
        <v>238</v>
      </c>
      <c r="D356">
        <v>57</v>
      </c>
      <c r="E356" t="s">
        <v>289</v>
      </c>
      <c r="F356" t="s">
        <v>298</v>
      </c>
      <c r="G356" t="s">
        <v>350</v>
      </c>
      <c r="H356" t="s">
        <v>450</v>
      </c>
      <c r="I356" t="s">
        <v>853</v>
      </c>
      <c r="J356" s="1">
        <v>45479</v>
      </c>
      <c r="K356" t="s">
        <v>1353</v>
      </c>
      <c r="L356" t="s">
        <v>1527</v>
      </c>
      <c r="M356">
        <v>77.84</v>
      </c>
      <c r="N356">
        <v>4</v>
      </c>
      <c r="O356" t="s">
        <v>1550</v>
      </c>
      <c r="P356">
        <v>2</v>
      </c>
      <c r="Q356">
        <v>59</v>
      </c>
      <c r="R356" s="1">
        <v>45485</v>
      </c>
      <c r="S356" t="s">
        <v>1904</v>
      </c>
      <c r="T356">
        <f t="shared" si="55"/>
        <v>6</v>
      </c>
      <c r="U356">
        <f t="shared" si="56"/>
        <v>311.36</v>
      </c>
      <c r="V356">
        <f t="shared" si="57"/>
        <v>370.36</v>
      </c>
      <c r="W356">
        <f t="shared" si="58"/>
        <v>0.2</v>
      </c>
      <c r="X356">
        <f t="shared" si="59"/>
        <v>62.272000000000006</v>
      </c>
      <c r="Y356">
        <f t="shared" si="60"/>
        <v>308.08800000000002</v>
      </c>
      <c r="Z356" t="str">
        <f t="shared" si="61"/>
        <v>Sharon Thompson</v>
      </c>
      <c r="AA356" s="1" t="str">
        <f t="shared" si="62"/>
        <v>Late</v>
      </c>
      <c r="AB356" t="str">
        <f t="shared" si="63"/>
        <v>Jul</v>
      </c>
      <c r="AC356" s="9">
        <f t="shared" si="64"/>
        <v>2024</v>
      </c>
      <c r="AD356" t="str">
        <f t="shared" si="65"/>
        <v>yahoo.com</v>
      </c>
    </row>
    <row r="357" spans="1:30" x14ac:dyDescent="0.3">
      <c r="A357" t="s">
        <v>20</v>
      </c>
      <c r="B357" t="s">
        <v>120</v>
      </c>
      <c r="C357" t="s">
        <v>202</v>
      </c>
      <c r="D357">
        <v>55</v>
      </c>
      <c r="E357" t="s">
        <v>289</v>
      </c>
      <c r="F357" t="s">
        <v>293</v>
      </c>
      <c r="G357" t="s">
        <v>301</v>
      </c>
      <c r="H357" t="s">
        <v>401</v>
      </c>
      <c r="I357" t="s">
        <v>747</v>
      </c>
      <c r="J357" s="1">
        <v>44982</v>
      </c>
      <c r="K357" t="s">
        <v>1247</v>
      </c>
      <c r="L357" t="s">
        <v>1532</v>
      </c>
      <c r="M357">
        <v>87.09</v>
      </c>
      <c r="N357">
        <v>2</v>
      </c>
      <c r="O357" t="s">
        <v>1548</v>
      </c>
      <c r="P357">
        <v>3</v>
      </c>
      <c r="Q357">
        <v>62</v>
      </c>
      <c r="R357" s="1">
        <v>44987</v>
      </c>
      <c r="S357" t="s">
        <v>1798</v>
      </c>
      <c r="T357">
        <f t="shared" si="55"/>
        <v>5</v>
      </c>
      <c r="U357">
        <f t="shared" si="56"/>
        <v>174.18</v>
      </c>
      <c r="V357">
        <f t="shared" si="57"/>
        <v>236.18</v>
      </c>
      <c r="W357">
        <f t="shared" si="58"/>
        <v>0.15</v>
      </c>
      <c r="X357">
        <f t="shared" si="59"/>
        <v>26.126999999999999</v>
      </c>
      <c r="Y357">
        <f t="shared" si="60"/>
        <v>210.053</v>
      </c>
      <c r="Z357" t="str">
        <f t="shared" si="61"/>
        <v>Hannah Gutierrez</v>
      </c>
      <c r="AA357" s="1" t="str">
        <f t="shared" si="62"/>
        <v>Late</v>
      </c>
      <c r="AB357" t="str">
        <f t="shared" si="63"/>
        <v>Feb</v>
      </c>
      <c r="AC357" s="9">
        <f t="shared" si="64"/>
        <v>2023</v>
      </c>
      <c r="AD357" t="str">
        <f t="shared" si="65"/>
        <v>yahoo.com</v>
      </c>
    </row>
    <row r="358" spans="1:30" x14ac:dyDescent="0.3">
      <c r="A358" t="s">
        <v>109</v>
      </c>
      <c r="B358" t="s">
        <v>194</v>
      </c>
      <c r="C358" t="s">
        <v>283</v>
      </c>
      <c r="D358">
        <v>43</v>
      </c>
      <c r="E358" t="s">
        <v>288</v>
      </c>
      <c r="F358" t="s">
        <v>294</v>
      </c>
      <c r="G358" t="s">
        <v>390</v>
      </c>
      <c r="H358" t="s">
        <v>490</v>
      </c>
      <c r="I358" t="s">
        <v>855</v>
      </c>
      <c r="J358" s="1">
        <v>45397</v>
      </c>
      <c r="K358" t="s">
        <v>1355</v>
      </c>
      <c r="L358" t="s">
        <v>1512</v>
      </c>
      <c r="M358">
        <v>104.18</v>
      </c>
      <c r="N358">
        <v>3</v>
      </c>
      <c r="O358" t="s">
        <v>1549</v>
      </c>
      <c r="P358">
        <v>6</v>
      </c>
      <c r="Q358">
        <v>60</v>
      </c>
      <c r="R358" s="1">
        <v>45398</v>
      </c>
      <c r="S358" t="s">
        <v>1906</v>
      </c>
      <c r="T358">
        <f t="shared" si="55"/>
        <v>1</v>
      </c>
      <c r="U358">
        <f t="shared" si="56"/>
        <v>312.54000000000002</v>
      </c>
      <c r="V358">
        <f t="shared" si="57"/>
        <v>372.54</v>
      </c>
      <c r="W358">
        <f t="shared" si="58"/>
        <v>0.1</v>
      </c>
      <c r="X358">
        <f t="shared" si="59"/>
        <v>31.254000000000005</v>
      </c>
      <c r="Y358">
        <f t="shared" si="60"/>
        <v>341.286</v>
      </c>
      <c r="Z358" t="str">
        <f t="shared" si="61"/>
        <v>Jared Horn</v>
      </c>
      <c r="AA358" s="1" t="str">
        <f t="shared" si="62"/>
        <v>Before Time</v>
      </c>
      <c r="AB358" t="str">
        <f t="shared" si="63"/>
        <v>Apr</v>
      </c>
      <c r="AC358" s="9">
        <f t="shared" si="64"/>
        <v>2024</v>
      </c>
      <c r="AD358" t="str">
        <f t="shared" si="65"/>
        <v>outlook.com</v>
      </c>
    </row>
    <row r="359" spans="1:30" x14ac:dyDescent="0.3">
      <c r="A359" t="s">
        <v>94</v>
      </c>
      <c r="B359" t="s">
        <v>183</v>
      </c>
      <c r="C359" t="s">
        <v>270</v>
      </c>
      <c r="D359">
        <v>42</v>
      </c>
      <c r="E359" t="s">
        <v>288</v>
      </c>
      <c r="F359" t="s">
        <v>295</v>
      </c>
      <c r="G359" t="s">
        <v>375</v>
      </c>
      <c r="H359" t="s">
        <v>475</v>
      </c>
      <c r="I359" t="s">
        <v>856</v>
      </c>
      <c r="J359" s="1">
        <v>45474</v>
      </c>
      <c r="K359" t="s">
        <v>1356</v>
      </c>
      <c r="L359" t="s">
        <v>1544</v>
      </c>
      <c r="M359">
        <v>107.47</v>
      </c>
      <c r="N359">
        <v>3</v>
      </c>
      <c r="O359" t="s">
        <v>1547</v>
      </c>
      <c r="P359">
        <v>4</v>
      </c>
      <c r="Q359">
        <v>63</v>
      </c>
      <c r="R359" s="1">
        <v>45481</v>
      </c>
      <c r="S359" t="s">
        <v>1907</v>
      </c>
      <c r="T359">
        <f t="shared" si="55"/>
        <v>7</v>
      </c>
      <c r="U359">
        <f t="shared" si="56"/>
        <v>322.40999999999997</v>
      </c>
      <c r="V359">
        <f t="shared" si="57"/>
        <v>322.40999999999997</v>
      </c>
      <c r="W359">
        <f t="shared" si="58"/>
        <v>0</v>
      </c>
      <c r="X359">
        <f t="shared" si="59"/>
        <v>0</v>
      </c>
      <c r="Y359">
        <f t="shared" si="60"/>
        <v>322.40999999999997</v>
      </c>
      <c r="Z359" t="str">
        <f t="shared" si="61"/>
        <v>Edward Black</v>
      </c>
      <c r="AA359" s="1" t="str">
        <f t="shared" si="62"/>
        <v>Late</v>
      </c>
      <c r="AB359" t="str">
        <f t="shared" si="63"/>
        <v>Jul</v>
      </c>
      <c r="AC359" s="9">
        <f t="shared" si="64"/>
        <v>2024</v>
      </c>
      <c r="AD359" t="str">
        <f t="shared" si="65"/>
        <v>gmail.com</v>
      </c>
    </row>
    <row r="360" spans="1:30" x14ac:dyDescent="0.3">
      <c r="A360" t="s">
        <v>90</v>
      </c>
      <c r="B360" t="s">
        <v>139</v>
      </c>
      <c r="C360" t="s">
        <v>266</v>
      </c>
      <c r="D360">
        <v>55</v>
      </c>
      <c r="E360" t="s">
        <v>289</v>
      </c>
      <c r="F360" t="s">
        <v>293</v>
      </c>
      <c r="G360" t="s">
        <v>371</v>
      </c>
      <c r="H360" t="s">
        <v>471</v>
      </c>
      <c r="I360" t="s">
        <v>957</v>
      </c>
      <c r="J360" s="1">
        <v>45045</v>
      </c>
      <c r="K360" t="s">
        <v>1456</v>
      </c>
      <c r="L360" t="s">
        <v>1505</v>
      </c>
      <c r="M360">
        <v>48.45</v>
      </c>
      <c r="N360">
        <v>3</v>
      </c>
      <c r="O360" t="s">
        <v>1547</v>
      </c>
      <c r="P360">
        <v>6</v>
      </c>
      <c r="Q360">
        <v>58</v>
      </c>
      <c r="R360" s="1">
        <v>45046</v>
      </c>
      <c r="S360" t="s">
        <v>2005</v>
      </c>
      <c r="T360">
        <f t="shared" si="55"/>
        <v>1</v>
      </c>
      <c r="U360">
        <f t="shared" si="56"/>
        <v>145.35000000000002</v>
      </c>
      <c r="V360">
        <f t="shared" si="57"/>
        <v>145.35000000000002</v>
      </c>
      <c r="W360">
        <f t="shared" si="58"/>
        <v>0</v>
      </c>
      <c r="X360">
        <f t="shared" si="59"/>
        <v>0</v>
      </c>
      <c r="Y360">
        <f t="shared" si="60"/>
        <v>145.35000000000002</v>
      </c>
      <c r="Z360" t="str">
        <f t="shared" si="61"/>
        <v>Mark Summers</v>
      </c>
      <c r="AA360" s="1" t="str">
        <f t="shared" si="62"/>
        <v>Before Time</v>
      </c>
      <c r="AB360" t="str">
        <f t="shared" si="63"/>
        <v>Apr</v>
      </c>
      <c r="AC360" s="9">
        <f t="shared" si="64"/>
        <v>2023</v>
      </c>
      <c r="AD360" t="str">
        <f t="shared" si="65"/>
        <v>outlook.com</v>
      </c>
    </row>
    <row r="361" spans="1:30" x14ac:dyDescent="0.3">
      <c r="A361" t="s">
        <v>61</v>
      </c>
      <c r="B361" t="s">
        <v>158</v>
      </c>
      <c r="C361" t="s">
        <v>242</v>
      </c>
      <c r="D361">
        <v>28</v>
      </c>
      <c r="E361" t="s">
        <v>290</v>
      </c>
      <c r="F361" t="s">
        <v>295</v>
      </c>
      <c r="G361" t="s">
        <v>342</v>
      </c>
      <c r="H361" t="s">
        <v>442</v>
      </c>
      <c r="I361" t="s">
        <v>858</v>
      </c>
      <c r="J361" s="1">
        <v>45600</v>
      </c>
      <c r="K361" t="s">
        <v>1358</v>
      </c>
      <c r="L361" t="s">
        <v>1507</v>
      </c>
      <c r="M361">
        <v>257.06</v>
      </c>
      <c r="N361">
        <v>4</v>
      </c>
      <c r="O361" t="s">
        <v>1549</v>
      </c>
      <c r="P361">
        <v>6</v>
      </c>
      <c r="Q361">
        <v>69</v>
      </c>
      <c r="R361" s="1">
        <v>45603</v>
      </c>
      <c r="S361" t="s">
        <v>1909</v>
      </c>
      <c r="T361">
        <f t="shared" si="55"/>
        <v>3</v>
      </c>
      <c r="U361">
        <f t="shared" si="56"/>
        <v>1028.24</v>
      </c>
      <c r="V361">
        <f t="shared" si="57"/>
        <v>1097.24</v>
      </c>
      <c r="W361">
        <f t="shared" si="58"/>
        <v>0.1</v>
      </c>
      <c r="X361">
        <f t="shared" si="59"/>
        <v>102.82400000000001</v>
      </c>
      <c r="Y361">
        <f t="shared" si="60"/>
        <v>994.41599999999994</v>
      </c>
      <c r="Z361" t="str">
        <f t="shared" si="61"/>
        <v>Mary Knight</v>
      </c>
      <c r="AA361" s="1" t="str">
        <f t="shared" si="62"/>
        <v>Before Time</v>
      </c>
      <c r="AB361" t="str">
        <f t="shared" si="63"/>
        <v>Nov</v>
      </c>
      <c r="AC361" s="9">
        <f t="shared" si="64"/>
        <v>2024</v>
      </c>
      <c r="AD361" t="str">
        <f t="shared" si="65"/>
        <v>yahoo.com</v>
      </c>
    </row>
    <row r="362" spans="1:30" x14ac:dyDescent="0.3">
      <c r="A362" t="s">
        <v>74</v>
      </c>
      <c r="B362" t="s">
        <v>167</v>
      </c>
      <c r="C362" t="s">
        <v>252</v>
      </c>
      <c r="D362">
        <v>33</v>
      </c>
      <c r="E362" t="s">
        <v>290</v>
      </c>
      <c r="F362" t="s">
        <v>297</v>
      </c>
      <c r="G362" t="s">
        <v>355</v>
      </c>
      <c r="H362" t="s">
        <v>455</v>
      </c>
      <c r="I362" t="s">
        <v>859</v>
      </c>
      <c r="J362" s="1">
        <v>45553</v>
      </c>
      <c r="K362" t="s">
        <v>1359</v>
      </c>
      <c r="L362" t="s">
        <v>1536</v>
      </c>
      <c r="M362">
        <v>403.03</v>
      </c>
      <c r="N362">
        <v>4</v>
      </c>
      <c r="O362" t="s">
        <v>1549</v>
      </c>
      <c r="P362">
        <v>7</v>
      </c>
      <c r="Q362">
        <v>65</v>
      </c>
      <c r="R362" s="1">
        <v>45556</v>
      </c>
      <c r="S362" t="s">
        <v>1910</v>
      </c>
      <c r="T362">
        <f t="shared" si="55"/>
        <v>3</v>
      </c>
      <c r="U362">
        <f t="shared" si="56"/>
        <v>1612.12</v>
      </c>
      <c r="V362">
        <f t="shared" si="57"/>
        <v>1677.12</v>
      </c>
      <c r="W362">
        <f t="shared" si="58"/>
        <v>0.1</v>
      </c>
      <c r="X362">
        <f t="shared" si="59"/>
        <v>161.21199999999999</v>
      </c>
      <c r="Y362">
        <f t="shared" si="60"/>
        <v>1515.9079999999999</v>
      </c>
      <c r="Z362" t="str">
        <f t="shared" si="61"/>
        <v>Jodi Whitney</v>
      </c>
      <c r="AA362" s="1" t="str">
        <f t="shared" si="62"/>
        <v>Before Time</v>
      </c>
      <c r="AB362" t="str">
        <f t="shared" si="63"/>
        <v>Sep</v>
      </c>
      <c r="AC362" s="9">
        <f t="shared" si="64"/>
        <v>2024</v>
      </c>
      <c r="AD362" t="str">
        <f t="shared" si="65"/>
        <v>yahoo.com</v>
      </c>
    </row>
    <row r="363" spans="1:30" x14ac:dyDescent="0.3">
      <c r="A363" t="s">
        <v>82</v>
      </c>
      <c r="B363" t="s">
        <v>172</v>
      </c>
      <c r="C363" t="s">
        <v>259</v>
      </c>
      <c r="D363">
        <v>38</v>
      </c>
      <c r="E363" t="s">
        <v>289</v>
      </c>
      <c r="F363" t="s">
        <v>298</v>
      </c>
      <c r="G363" t="s">
        <v>363</v>
      </c>
      <c r="H363" t="s">
        <v>463</v>
      </c>
      <c r="I363" t="s">
        <v>860</v>
      </c>
      <c r="J363" s="1">
        <v>45059</v>
      </c>
      <c r="K363" t="s">
        <v>1360</v>
      </c>
      <c r="L363" t="s">
        <v>1505</v>
      </c>
      <c r="M363">
        <v>48.45</v>
      </c>
      <c r="N363">
        <v>1</v>
      </c>
      <c r="O363" t="s">
        <v>1549</v>
      </c>
      <c r="P363">
        <v>2</v>
      </c>
      <c r="Q363">
        <v>41</v>
      </c>
      <c r="R363" s="1">
        <v>45062</v>
      </c>
      <c r="S363" t="s">
        <v>1911</v>
      </c>
      <c r="T363">
        <f t="shared" si="55"/>
        <v>3</v>
      </c>
      <c r="U363">
        <f t="shared" si="56"/>
        <v>48.45</v>
      </c>
      <c r="V363">
        <f t="shared" si="57"/>
        <v>89.45</v>
      </c>
      <c r="W363">
        <f t="shared" si="58"/>
        <v>0.1</v>
      </c>
      <c r="X363">
        <f t="shared" si="59"/>
        <v>4.8450000000000006</v>
      </c>
      <c r="Y363">
        <f t="shared" si="60"/>
        <v>84.605000000000004</v>
      </c>
      <c r="Z363" t="str">
        <f t="shared" si="61"/>
        <v>Christy Chang</v>
      </c>
      <c r="AA363" s="1" t="str">
        <f t="shared" si="62"/>
        <v>Late</v>
      </c>
      <c r="AB363" t="str">
        <f t="shared" si="63"/>
        <v>May</v>
      </c>
      <c r="AC363" s="9">
        <f t="shared" si="64"/>
        <v>2023</v>
      </c>
      <c r="AD363" t="str">
        <f t="shared" si="65"/>
        <v>outlook.com</v>
      </c>
    </row>
    <row r="364" spans="1:30" x14ac:dyDescent="0.3">
      <c r="A364" t="s">
        <v>83</v>
      </c>
      <c r="B364" t="s">
        <v>173</v>
      </c>
      <c r="C364" t="s">
        <v>260</v>
      </c>
      <c r="D364">
        <v>68</v>
      </c>
      <c r="E364" t="s">
        <v>288</v>
      </c>
      <c r="F364" t="s">
        <v>298</v>
      </c>
      <c r="G364" t="s">
        <v>364</v>
      </c>
      <c r="H364" t="s">
        <v>464</v>
      </c>
      <c r="I364" t="s">
        <v>861</v>
      </c>
      <c r="J364" s="1">
        <v>45007</v>
      </c>
      <c r="K364" t="s">
        <v>1361</v>
      </c>
      <c r="L364" t="s">
        <v>1500</v>
      </c>
      <c r="M364">
        <v>44.5</v>
      </c>
      <c r="N364">
        <v>5</v>
      </c>
      <c r="O364" t="s">
        <v>1549</v>
      </c>
      <c r="P364">
        <v>4</v>
      </c>
      <c r="Q364">
        <v>55</v>
      </c>
      <c r="R364" s="1">
        <v>45012</v>
      </c>
      <c r="S364" t="s">
        <v>1912</v>
      </c>
      <c r="T364">
        <f t="shared" si="55"/>
        <v>5</v>
      </c>
      <c r="U364">
        <f t="shared" si="56"/>
        <v>222.5</v>
      </c>
      <c r="V364">
        <f t="shared" si="57"/>
        <v>277.5</v>
      </c>
      <c r="W364">
        <f t="shared" si="58"/>
        <v>0.1</v>
      </c>
      <c r="X364">
        <f t="shared" si="59"/>
        <v>22.25</v>
      </c>
      <c r="Y364">
        <f t="shared" si="60"/>
        <v>255.25</v>
      </c>
      <c r="Z364" t="str">
        <f t="shared" si="61"/>
        <v>Troy Gomez</v>
      </c>
      <c r="AA364" s="1" t="str">
        <f t="shared" si="62"/>
        <v>Late</v>
      </c>
      <c r="AB364" t="str">
        <f t="shared" si="63"/>
        <v>Mar</v>
      </c>
      <c r="AC364" s="9">
        <f t="shared" si="64"/>
        <v>2023</v>
      </c>
      <c r="AD364" t="str">
        <f t="shared" si="65"/>
        <v>outlook.com</v>
      </c>
    </row>
    <row r="365" spans="1:30" x14ac:dyDescent="0.3">
      <c r="A365" t="s">
        <v>63</v>
      </c>
      <c r="B365" t="s">
        <v>144</v>
      </c>
      <c r="C365" t="s">
        <v>244</v>
      </c>
      <c r="D365">
        <v>62</v>
      </c>
      <c r="E365" t="s">
        <v>289</v>
      </c>
      <c r="F365" t="s">
        <v>292</v>
      </c>
      <c r="G365" t="s">
        <v>344</v>
      </c>
      <c r="H365" t="s">
        <v>444</v>
      </c>
      <c r="I365" t="s">
        <v>556</v>
      </c>
      <c r="J365" s="1">
        <v>45678</v>
      </c>
      <c r="K365" t="s">
        <v>1056</v>
      </c>
      <c r="L365" t="s">
        <v>1529</v>
      </c>
      <c r="M365">
        <v>128.13999999999999</v>
      </c>
      <c r="N365">
        <v>5</v>
      </c>
      <c r="O365" t="s">
        <v>1550</v>
      </c>
      <c r="P365">
        <v>7</v>
      </c>
      <c r="Q365">
        <v>68</v>
      </c>
      <c r="R365" s="1">
        <v>45685</v>
      </c>
      <c r="S365" t="s">
        <v>1608</v>
      </c>
      <c r="T365">
        <f t="shared" si="55"/>
        <v>7</v>
      </c>
      <c r="U365">
        <f t="shared" si="56"/>
        <v>640.69999999999993</v>
      </c>
      <c r="V365">
        <f t="shared" si="57"/>
        <v>708.69999999999993</v>
      </c>
      <c r="W365">
        <f t="shared" si="58"/>
        <v>0.2</v>
      </c>
      <c r="X365">
        <f t="shared" si="59"/>
        <v>128.13999999999999</v>
      </c>
      <c r="Y365">
        <f t="shared" si="60"/>
        <v>580.55999999999995</v>
      </c>
      <c r="Z365" t="str">
        <f t="shared" si="61"/>
        <v>Lauren Crane</v>
      </c>
      <c r="AA365" s="1" t="str">
        <f t="shared" si="62"/>
        <v>In Time</v>
      </c>
      <c r="AB365" t="str">
        <f t="shared" si="63"/>
        <v>Jan</v>
      </c>
      <c r="AC365" s="9">
        <f t="shared" si="64"/>
        <v>2025</v>
      </c>
      <c r="AD365" t="str">
        <f t="shared" si="65"/>
        <v>yahoo.com</v>
      </c>
    </row>
    <row r="366" spans="1:30" x14ac:dyDescent="0.3">
      <c r="A366" t="s">
        <v>91</v>
      </c>
      <c r="B366" t="s">
        <v>180</v>
      </c>
      <c r="C366" t="s">
        <v>267</v>
      </c>
      <c r="D366">
        <v>43</v>
      </c>
      <c r="E366" t="s">
        <v>290</v>
      </c>
      <c r="F366" t="s">
        <v>293</v>
      </c>
      <c r="G366" t="s">
        <v>372</v>
      </c>
      <c r="H366" t="s">
        <v>472</v>
      </c>
      <c r="I366" t="s">
        <v>863</v>
      </c>
      <c r="J366" s="1">
        <v>44978</v>
      </c>
      <c r="K366" t="s">
        <v>1363</v>
      </c>
      <c r="L366" t="s">
        <v>1530</v>
      </c>
      <c r="M366">
        <v>369.03</v>
      </c>
      <c r="N366">
        <v>2</v>
      </c>
      <c r="O366" t="s">
        <v>1549</v>
      </c>
      <c r="P366">
        <v>6</v>
      </c>
      <c r="Q366">
        <v>55</v>
      </c>
      <c r="R366" s="1">
        <v>44981</v>
      </c>
      <c r="S366" t="s">
        <v>1914</v>
      </c>
      <c r="T366">
        <f t="shared" si="55"/>
        <v>3</v>
      </c>
      <c r="U366">
        <f t="shared" si="56"/>
        <v>738.06</v>
      </c>
      <c r="V366">
        <f t="shared" si="57"/>
        <v>793.06</v>
      </c>
      <c r="W366">
        <f t="shared" si="58"/>
        <v>0.1</v>
      </c>
      <c r="X366">
        <f t="shared" si="59"/>
        <v>73.805999999999997</v>
      </c>
      <c r="Y366">
        <f t="shared" si="60"/>
        <v>719.25399999999991</v>
      </c>
      <c r="Z366" t="str">
        <f t="shared" si="61"/>
        <v>Barbara Fuller</v>
      </c>
      <c r="AA366" s="1" t="str">
        <f t="shared" si="62"/>
        <v>Before Time</v>
      </c>
      <c r="AB366" t="str">
        <f t="shared" si="63"/>
        <v>Feb</v>
      </c>
      <c r="AC366" s="9">
        <f t="shared" si="64"/>
        <v>2023</v>
      </c>
      <c r="AD366" t="str">
        <f t="shared" si="65"/>
        <v>rediffmail.com</v>
      </c>
    </row>
    <row r="367" spans="1:30" x14ac:dyDescent="0.3">
      <c r="A367" t="s">
        <v>20</v>
      </c>
      <c r="B367" t="s">
        <v>120</v>
      </c>
      <c r="C367" t="s">
        <v>202</v>
      </c>
      <c r="D367">
        <v>55</v>
      </c>
      <c r="E367" t="s">
        <v>289</v>
      </c>
      <c r="F367" t="s">
        <v>293</v>
      </c>
      <c r="G367" t="s">
        <v>301</v>
      </c>
      <c r="H367" t="s">
        <v>401</v>
      </c>
      <c r="I367" t="s">
        <v>796</v>
      </c>
      <c r="J367" s="1">
        <v>45421</v>
      </c>
      <c r="K367" t="s">
        <v>1296</v>
      </c>
      <c r="L367" t="s">
        <v>1507</v>
      </c>
      <c r="M367">
        <v>257.06</v>
      </c>
      <c r="N367">
        <v>1</v>
      </c>
      <c r="O367" t="s">
        <v>1550</v>
      </c>
      <c r="P367">
        <v>4</v>
      </c>
      <c r="Q367">
        <v>42</v>
      </c>
      <c r="R367" s="1">
        <v>45423</v>
      </c>
      <c r="S367" t="s">
        <v>1847</v>
      </c>
      <c r="T367">
        <f t="shared" si="55"/>
        <v>2</v>
      </c>
      <c r="U367">
        <f t="shared" si="56"/>
        <v>257.06</v>
      </c>
      <c r="V367">
        <f t="shared" si="57"/>
        <v>299.06</v>
      </c>
      <c r="W367">
        <f t="shared" si="58"/>
        <v>0.2</v>
      </c>
      <c r="X367">
        <f t="shared" si="59"/>
        <v>51.412000000000006</v>
      </c>
      <c r="Y367">
        <f t="shared" si="60"/>
        <v>247.648</v>
      </c>
      <c r="Z367" t="str">
        <f t="shared" si="61"/>
        <v>Hannah Gutierrez</v>
      </c>
      <c r="AA367" s="1" t="str">
        <f t="shared" si="62"/>
        <v>Before Time</v>
      </c>
      <c r="AB367" t="str">
        <f t="shared" si="63"/>
        <v>May</v>
      </c>
      <c r="AC367" s="9">
        <f t="shared" si="64"/>
        <v>2024</v>
      </c>
      <c r="AD367" t="str">
        <f t="shared" si="65"/>
        <v>yahoo.com</v>
      </c>
    </row>
    <row r="368" spans="1:30" x14ac:dyDescent="0.3">
      <c r="A368" t="s">
        <v>37</v>
      </c>
      <c r="B368" t="s">
        <v>137</v>
      </c>
      <c r="C368" t="s">
        <v>218</v>
      </c>
      <c r="D368">
        <v>23</v>
      </c>
      <c r="E368" t="s">
        <v>288</v>
      </c>
      <c r="F368" t="s">
        <v>296</v>
      </c>
      <c r="G368" t="s">
        <v>318</v>
      </c>
      <c r="H368" t="s">
        <v>418</v>
      </c>
      <c r="I368" t="s">
        <v>865</v>
      </c>
      <c r="J368" s="1">
        <v>45225</v>
      </c>
      <c r="K368" t="s">
        <v>1365</v>
      </c>
      <c r="L368" t="s">
        <v>1545</v>
      </c>
      <c r="M368">
        <v>292.14999999999998</v>
      </c>
      <c r="N368">
        <v>3</v>
      </c>
      <c r="O368" t="s">
        <v>1547</v>
      </c>
      <c r="P368">
        <v>3</v>
      </c>
      <c r="Q368">
        <v>51</v>
      </c>
      <c r="R368" s="1">
        <v>45227</v>
      </c>
      <c r="S368" t="s">
        <v>1916</v>
      </c>
      <c r="T368">
        <f t="shared" si="55"/>
        <v>2</v>
      </c>
      <c r="U368">
        <f t="shared" si="56"/>
        <v>876.44999999999993</v>
      </c>
      <c r="V368">
        <f t="shared" si="57"/>
        <v>876.44999999999993</v>
      </c>
      <c r="W368">
        <f t="shared" si="58"/>
        <v>0</v>
      </c>
      <c r="X368">
        <f t="shared" si="59"/>
        <v>0</v>
      </c>
      <c r="Y368">
        <f t="shared" si="60"/>
        <v>876.44999999999993</v>
      </c>
      <c r="Z368" t="str">
        <f t="shared" si="61"/>
        <v>Deborah Bates</v>
      </c>
      <c r="AA368" s="1" t="str">
        <f t="shared" si="62"/>
        <v>Before Time</v>
      </c>
      <c r="AB368" t="str">
        <f t="shared" si="63"/>
        <v>Oct</v>
      </c>
      <c r="AC368" s="9">
        <f t="shared" si="64"/>
        <v>2023</v>
      </c>
      <c r="AD368" t="str">
        <f t="shared" si="65"/>
        <v>yahoo.com</v>
      </c>
    </row>
    <row r="369" spans="1:30" x14ac:dyDescent="0.3">
      <c r="A369" t="s">
        <v>107</v>
      </c>
      <c r="B369" t="s">
        <v>122</v>
      </c>
      <c r="C369" t="s">
        <v>281</v>
      </c>
      <c r="D369">
        <v>40</v>
      </c>
      <c r="E369" t="s">
        <v>288</v>
      </c>
      <c r="F369" t="s">
        <v>295</v>
      </c>
      <c r="G369" t="s">
        <v>388</v>
      </c>
      <c r="H369" t="s">
        <v>488</v>
      </c>
      <c r="I369" t="s">
        <v>866</v>
      </c>
      <c r="J369" s="1">
        <v>45193</v>
      </c>
      <c r="K369" t="s">
        <v>1366</v>
      </c>
      <c r="L369" t="s">
        <v>1517</v>
      </c>
      <c r="M369">
        <v>282.63</v>
      </c>
      <c r="N369">
        <v>2</v>
      </c>
      <c r="O369" t="s">
        <v>1548</v>
      </c>
      <c r="P369">
        <v>6</v>
      </c>
      <c r="Q369">
        <v>62</v>
      </c>
      <c r="R369" s="1">
        <v>45194</v>
      </c>
      <c r="S369" t="s">
        <v>1917</v>
      </c>
      <c r="T369">
        <f t="shared" si="55"/>
        <v>1</v>
      </c>
      <c r="U369">
        <f t="shared" si="56"/>
        <v>565.26</v>
      </c>
      <c r="V369">
        <f t="shared" si="57"/>
        <v>627.26</v>
      </c>
      <c r="W369">
        <f t="shared" si="58"/>
        <v>0.15</v>
      </c>
      <c r="X369">
        <f t="shared" si="59"/>
        <v>84.789000000000001</v>
      </c>
      <c r="Y369">
        <f t="shared" si="60"/>
        <v>542.471</v>
      </c>
      <c r="Z369" t="str">
        <f t="shared" si="61"/>
        <v>Angela Casey</v>
      </c>
      <c r="AA369" s="1" t="str">
        <f t="shared" si="62"/>
        <v>Before Time</v>
      </c>
      <c r="AB369" t="str">
        <f t="shared" si="63"/>
        <v>Sep</v>
      </c>
      <c r="AC369" s="9">
        <f t="shared" si="64"/>
        <v>2023</v>
      </c>
      <c r="AD369" t="str">
        <f t="shared" si="65"/>
        <v>gmail.com</v>
      </c>
    </row>
    <row r="370" spans="1:30" x14ac:dyDescent="0.3">
      <c r="A370" t="s">
        <v>33</v>
      </c>
      <c r="B370" t="s">
        <v>133</v>
      </c>
      <c r="C370" t="s">
        <v>215</v>
      </c>
      <c r="D370">
        <v>46</v>
      </c>
      <c r="E370" t="s">
        <v>288</v>
      </c>
      <c r="F370" t="s">
        <v>297</v>
      </c>
      <c r="G370" t="s">
        <v>314</v>
      </c>
      <c r="H370" t="s">
        <v>414</v>
      </c>
      <c r="I370" t="s">
        <v>867</v>
      </c>
      <c r="J370" s="1">
        <v>45473</v>
      </c>
      <c r="K370" t="s">
        <v>1367</v>
      </c>
      <c r="L370" t="s">
        <v>1511</v>
      </c>
      <c r="M370">
        <v>272.51</v>
      </c>
      <c r="N370">
        <v>3</v>
      </c>
      <c r="O370" t="s">
        <v>2047</v>
      </c>
      <c r="P370">
        <v>5</v>
      </c>
      <c r="Q370">
        <v>66</v>
      </c>
      <c r="R370" s="1">
        <v>45479</v>
      </c>
      <c r="S370" t="s">
        <v>1918</v>
      </c>
      <c r="T370">
        <f t="shared" si="55"/>
        <v>6</v>
      </c>
      <c r="U370">
        <f t="shared" si="56"/>
        <v>817.53</v>
      </c>
      <c r="V370">
        <f t="shared" si="57"/>
        <v>883.53</v>
      </c>
      <c r="W370">
        <f t="shared" si="58"/>
        <v>0.08</v>
      </c>
      <c r="X370">
        <f t="shared" si="59"/>
        <v>65.4024</v>
      </c>
      <c r="Y370">
        <f t="shared" si="60"/>
        <v>818.12760000000003</v>
      </c>
      <c r="Z370" t="str">
        <f t="shared" si="61"/>
        <v>Erin Miller</v>
      </c>
      <c r="AA370" s="1" t="str">
        <f t="shared" si="62"/>
        <v>Late</v>
      </c>
      <c r="AB370" t="str">
        <f t="shared" si="63"/>
        <v>Jun</v>
      </c>
      <c r="AC370" s="9">
        <f t="shared" si="64"/>
        <v>2024</v>
      </c>
      <c r="AD370" t="str">
        <f t="shared" si="65"/>
        <v>gmail.com</v>
      </c>
    </row>
    <row r="371" spans="1:30" x14ac:dyDescent="0.3">
      <c r="A371" t="s">
        <v>60</v>
      </c>
      <c r="B371" t="s">
        <v>157</v>
      </c>
      <c r="C371" t="s">
        <v>241</v>
      </c>
      <c r="D371">
        <v>52</v>
      </c>
      <c r="E371" t="s">
        <v>290</v>
      </c>
      <c r="F371" t="s">
        <v>298</v>
      </c>
      <c r="G371" t="s">
        <v>341</v>
      </c>
      <c r="H371" t="s">
        <v>441</v>
      </c>
      <c r="I371" t="s">
        <v>868</v>
      </c>
      <c r="J371" s="1">
        <v>44975</v>
      </c>
      <c r="K371" t="s">
        <v>1368</v>
      </c>
      <c r="L371" t="s">
        <v>1501</v>
      </c>
      <c r="M371">
        <v>330.11</v>
      </c>
      <c r="N371">
        <v>2</v>
      </c>
      <c r="O371" t="s">
        <v>1547</v>
      </c>
      <c r="P371">
        <v>3</v>
      </c>
      <c r="Q371">
        <v>55</v>
      </c>
      <c r="R371" s="1">
        <v>44976</v>
      </c>
      <c r="S371" t="s">
        <v>1919</v>
      </c>
      <c r="T371">
        <f t="shared" si="55"/>
        <v>1</v>
      </c>
      <c r="U371">
        <f t="shared" si="56"/>
        <v>660.22</v>
      </c>
      <c r="V371">
        <f t="shared" si="57"/>
        <v>660.22</v>
      </c>
      <c r="W371">
        <f t="shared" si="58"/>
        <v>0</v>
      </c>
      <c r="X371">
        <f t="shared" si="59"/>
        <v>0</v>
      </c>
      <c r="Y371">
        <f t="shared" si="60"/>
        <v>660.22</v>
      </c>
      <c r="Z371" t="str">
        <f t="shared" si="61"/>
        <v>Amanda Howard</v>
      </c>
      <c r="AA371" s="1" t="str">
        <f t="shared" si="62"/>
        <v>Before Time</v>
      </c>
      <c r="AB371" t="str">
        <f t="shared" si="63"/>
        <v>Feb</v>
      </c>
      <c r="AC371" s="9">
        <f t="shared" si="64"/>
        <v>2023</v>
      </c>
      <c r="AD371" t="str">
        <f t="shared" si="65"/>
        <v>outlook.com</v>
      </c>
    </row>
    <row r="372" spans="1:30" x14ac:dyDescent="0.3">
      <c r="A372" t="s">
        <v>32</v>
      </c>
      <c r="B372" t="s">
        <v>132</v>
      </c>
      <c r="C372" t="s">
        <v>214</v>
      </c>
      <c r="D372">
        <v>24</v>
      </c>
      <c r="E372" t="s">
        <v>288</v>
      </c>
      <c r="F372" t="s">
        <v>293</v>
      </c>
      <c r="G372" t="s">
        <v>313</v>
      </c>
      <c r="H372" t="s">
        <v>413</v>
      </c>
      <c r="I372" t="s">
        <v>869</v>
      </c>
      <c r="J372" s="1">
        <v>45485</v>
      </c>
      <c r="K372" t="s">
        <v>1369</v>
      </c>
      <c r="L372" t="s">
        <v>1515</v>
      </c>
      <c r="M372">
        <v>132.97</v>
      </c>
      <c r="N372">
        <v>2</v>
      </c>
      <c r="O372" t="s">
        <v>1548</v>
      </c>
      <c r="P372">
        <v>4</v>
      </c>
      <c r="Q372">
        <v>40</v>
      </c>
      <c r="R372" s="1">
        <v>45487</v>
      </c>
      <c r="S372" t="s">
        <v>1920</v>
      </c>
      <c r="T372">
        <f t="shared" si="55"/>
        <v>2</v>
      </c>
      <c r="U372">
        <f t="shared" si="56"/>
        <v>265.94</v>
      </c>
      <c r="V372">
        <f t="shared" si="57"/>
        <v>305.94</v>
      </c>
      <c r="W372">
        <f t="shared" si="58"/>
        <v>0.15</v>
      </c>
      <c r="X372">
        <f t="shared" si="59"/>
        <v>39.890999999999998</v>
      </c>
      <c r="Y372">
        <f t="shared" si="60"/>
        <v>266.04899999999998</v>
      </c>
      <c r="Z372" t="str">
        <f t="shared" si="61"/>
        <v>Joshua Campbell</v>
      </c>
      <c r="AA372" s="1" t="str">
        <f t="shared" si="62"/>
        <v>Before Time</v>
      </c>
      <c r="AB372" t="str">
        <f t="shared" si="63"/>
        <v>Jul</v>
      </c>
      <c r="AC372" s="9">
        <f t="shared" si="64"/>
        <v>2024</v>
      </c>
      <c r="AD372" t="str">
        <f t="shared" si="65"/>
        <v>gmail.com</v>
      </c>
    </row>
    <row r="373" spans="1:30" x14ac:dyDescent="0.3">
      <c r="A373" t="s">
        <v>73</v>
      </c>
      <c r="B373" t="s">
        <v>166</v>
      </c>
      <c r="C373" t="s">
        <v>251</v>
      </c>
      <c r="D373">
        <v>32</v>
      </c>
      <c r="E373" t="s">
        <v>290</v>
      </c>
      <c r="F373" t="s">
        <v>296</v>
      </c>
      <c r="G373" t="s">
        <v>354</v>
      </c>
      <c r="H373" t="s">
        <v>454</v>
      </c>
      <c r="I373" t="s">
        <v>870</v>
      </c>
      <c r="J373" s="1">
        <v>45006</v>
      </c>
      <c r="K373" t="s">
        <v>1370</v>
      </c>
      <c r="L373" t="s">
        <v>1532</v>
      </c>
      <c r="M373">
        <v>87.09</v>
      </c>
      <c r="N373">
        <v>2</v>
      </c>
      <c r="O373" t="s">
        <v>1547</v>
      </c>
      <c r="P373">
        <v>4</v>
      </c>
      <c r="Q373">
        <v>67</v>
      </c>
      <c r="R373" s="1">
        <v>45010</v>
      </c>
      <c r="S373" t="s">
        <v>1921</v>
      </c>
      <c r="T373">
        <f t="shared" si="55"/>
        <v>4</v>
      </c>
      <c r="U373">
        <f t="shared" si="56"/>
        <v>174.18</v>
      </c>
      <c r="V373">
        <f t="shared" si="57"/>
        <v>174.18</v>
      </c>
      <c r="W373">
        <f t="shared" si="58"/>
        <v>0</v>
      </c>
      <c r="X373">
        <f t="shared" si="59"/>
        <v>0</v>
      </c>
      <c r="Y373">
        <f t="shared" si="60"/>
        <v>174.18</v>
      </c>
      <c r="Z373" t="str">
        <f t="shared" si="61"/>
        <v>Brandon Cruz</v>
      </c>
      <c r="AA373" s="1" t="str">
        <f t="shared" si="62"/>
        <v>In Time</v>
      </c>
      <c r="AB373" t="str">
        <f t="shared" si="63"/>
        <v>Mar</v>
      </c>
      <c r="AC373" s="9">
        <f t="shared" si="64"/>
        <v>2023</v>
      </c>
      <c r="AD373" t="str">
        <f t="shared" si="65"/>
        <v>gmail.com</v>
      </c>
    </row>
    <row r="374" spans="1:30" x14ac:dyDescent="0.3">
      <c r="A374" t="s">
        <v>52</v>
      </c>
      <c r="B374" t="s">
        <v>150</v>
      </c>
      <c r="C374" t="s">
        <v>233</v>
      </c>
      <c r="D374">
        <v>23</v>
      </c>
      <c r="E374" t="s">
        <v>288</v>
      </c>
      <c r="F374" t="s">
        <v>291</v>
      </c>
      <c r="G374" t="s">
        <v>333</v>
      </c>
      <c r="H374" t="s">
        <v>433</v>
      </c>
      <c r="I374" t="s">
        <v>871</v>
      </c>
      <c r="J374" s="1">
        <v>45622</v>
      </c>
      <c r="K374" t="s">
        <v>1371</v>
      </c>
      <c r="L374" t="s">
        <v>1544</v>
      </c>
      <c r="M374">
        <v>107.47</v>
      </c>
      <c r="N374">
        <v>5</v>
      </c>
      <c r="O374" t="s">
        <v>2047</v>
      </c>
      <c r="P374">
        <v>4</v>
      </c>
      <c r="Q374">
        <v>37</v>
      </c>
      <c r="R374" s="1">
        <v>45628</v>
      </c>
      <c r="S374" t="s">
        <v>1922</v>
      </c>
      <c r="T374">
        <f t="shared" si="55"/>
        <v>6</v>
      </c>
      <c r="U374">
        <f t="shared" si="56"/>
        <v>537.35</v>
      </c>
      <c r="V374">
        <f t="shared" si="57"/>
        <v>574.35</v>
      </c>
      <c r="W374">
        <f t="shared" si="58"/>
        <v>0.08</v>
      </c>
      <c r="X374">
        <f t="shared" si="59"/>
        <v>42.988</v>
      </c>
      <c r="Y374">
        <f t="shared" si="60"/>
        <v>531.36200000000008</v>
      </c>
      <c r="Z374" t="str">
        <f t="shared" si="61"/>
        <v>Julie Meyer</v>
      </c>
      <c r="AA374" s="1" t="str">
        <f t="shared" si="62"/>
        <v>Late</v>
      </c>
      <c r="AB374" t="str">
        <f t="shared" si="63"/>
        <v>Nov</v>
      </c>
      <c r="AC374" s="9">
        <f t="shared" si="64"/>
        <v>2024</v>
      </c>
      <c r="AD374" t="str">
        <f t="shared" si="65"/>
        <v>yahoo.com</v>
      </c>
    </row>
    <row r="375" spans="1:30" x14ac:dyDescent="0.3">
      <c r="A375" t="s">
        <v>89</v>
      </c>
      <c r="B375" t="s">
        <v>179</v>
      </c>
      <c r="C375" t="s">
        <v>265</v>
      </c>
      <c r="D375">
        <v>30</v>
      </c>
      <c r="E375" t="s">
        <v>288</v>
      </c>
      <c r="F375" t="s">
        <v>293</v>
      </c>
      <c r="G375" t="s">
        <v>370</v>
      </c>
      <c r="H375" t="s">
        <v>470</v>
      </c>
      <c r="I375" t="s">
        <v>872</v>
      </c>
      <c r="J375" s="1">
        <v>45417</v>
      </c>
      <c r="K375" t="s">
        <v>1372</v>
      </c>
      <c r="L375" t="s">
        <v>1544</v>
      </c>
      <c r="M375">
        <v>107.47</v>
      </c>
      <c r="N375">
        <v>5</v>
      </c>
      <c r="O375" t="s">
        <v>1549</v>
      </c>
      <c r="P375">
        <v>4</v>
      </c>
      <c r="Q375">
        <v>47</v>
      </c>
      <c r="R375" s="1">
        <v>45424</v>
      </c>
      <c r="S375" t="s">
        <v>1923</v>
      </c>
      <c r="T375">
        <f t="shared" si="55"/>
        <v>7</v>
      </c>
      <c r="U375">
        <f t="shared" si="56"/>
        <v>537.35</v>
      </c>
      <c r="V375">
        <f t="shared" si="57"/>
        <v>584.35</v>
      </c>
      <c r="W375">
        <f t="shared" si="58"/>
        <v>0.1</v>
      </c>
      <c r="X375">
        <f t="shared" si="59"/>
        <v>53.735000000000007</v>
      </c>
      <c r="Y375">
        <f t="shared" si="60"/>
        <v>530.61500000000001</v>
      </c>
      <c r="Z375" t="str">
        <f t="shared" si="61"/>
        <v>Melissa Levy</v>
      </c>
      <c r="AA375" s="1" t="str">
        <f t="shared" si="62"/>
        <v>Late</v>
      </c>
      <c r="AB375" t="str">
        <f t="shared" si="63"/>
        <v>May</v>
      </c>
      <c r="AC375" s="9">
        <f t="shared" si="64"/>
        <v>2024</v>
      </c>
      <c r="AD375" t="str">
        <f t="shared" si="65"/>
        <v>rediffmail.com</v>
      </c>
    </row>
    <row r="376" spans="1:30" x14ac:dyDescent="0.3">
      <c r="A376" t="s">
        <v>81</v>
      </c>
      <c r="B376" t="s">
        <v>171</v>
      </c>
      <c r="C376" t="s">
        <v>258</v>
      </c>
      <c r="D376">
        <v>45</v>
      </c>
      <c r="E376" t="s">
        <v>290</v>
      </c>
      <c r="F376" t="s">
        <v>296</v>
      </c>
      <c r="G376" t="s">
        <v>362</v>
      </c>
      <c r="H376" t="s">
        <v>462</v>
      </c>
      <c r="I376" t="s">
        <v>873</v>
      </c>
      <c r="J376" s="1">
        <v>45446</v>
      </c>
      <c r="K376" t="s">
        <v>1373</v>
      </c>
      <c r="L376" t="s">
        <v>1541</v>
      </c>
      <c r="M376">
        <v>133.62</v>
      </c>
      <c r="N376">
        <v>1</v>
      </c>
      <c r="O376" t="s">
        <v>1548</v>
      </c>
      <c r="P376">
        <v>5</v>
      </c>
      <c r="Q376">
        <v>39</v>
      </c>
      <c r="R376" s="1">
        <v>45451</v>
      </c>
      <c r="S376" t="s">
        <v>1924</v>
      </c>
      <c r="T376">
        <f t="shared" si="55"/>
        <v>5</v>
      </c>
      <c r="U376">
        <f t="shared" si="56"/>
        <v>133.62</v>
      </c>
      <c r="V376">
        <f t="shared" si="57"/>
        <v>172.62</v>
      </c>
      <c r="W376">
        <f t="shared" si="58"/>
        <v>0.15</v>
      </c>
      <c r="X376">
        <f t="shared" si="59"/>
        <v>20.042999999999999</v>
      </c>
      <c r="Y376">
        <f t="shared" si="60"/>
        <v>152.577</v>
      </c>
      <c r="Z376" t="str">
        <f t="shared" si="61"/>
        <v>Beth Mason</v>
      </c>
      <c r="AA376" s="1" t="str">
        <f t="shared" si="62"/>
        <v>In Time</v>
      </c>
      <c r="AB376" t="str">
        <f t="shared" si="63"/>
        <v>Jun</v>
      </c>
      <c r="AC376" s="9">
        <f t="shared" si="64"/>
        <v>2024</v>
      </c>
      <c r="AD376" t="str">
        <f t="shared" si="65"/>
        <v>outlook.com</v>
      </c>
    </row>
    <row r="377" spans="1:30" x14ac:dyDescent="0.3">
      <c r="A377" t="s">
        <v>61</v>
      </c>
      <c r="B377" t="s">
        <v>158</v>
      </c>
      <c r="C377" t="s">
        <v>242</v>
      </c>
      <c r="D377">
        <v>28</v>
      </c>
      <c r="E377" t="s">
        <v>290</v>
      </c>
      <c r="F377" t="s">
        <v>295</v>
      </c>
      <c r="G377" t="s">
        <v>342</v>
      </c>
      <c r="H377" t="s">
        <v>442</v>
      </c>
      <c r="I377" t="s">
        <v>874</v>
      </c>
      <c r="J377" s="1">
        <v>45247</v>
      </c>
      <c r="K377" t="s">
        <v>1374</v>
      </c>
      <c r="L377" t="s">
        <v>1504</v>
      </c>
      <c r="M377">
        <v>275.44</v>
      </c>
      <c r="N377">
        <v>2</v>
      </c>
      <c r="O377" t="s">
        <v>1550</v>
      </c>
      <c r="P377">
        <v>3</v>
      </c>
      <c r="Q377">
        <v>43</v>
      </c>
      <c r="R377" s="1">
        <v>45251</v>
      </c>
      <c r="S377" t="s">
        <v>1925</v>
      </c>
      <c r="T377">
        <f t="shared" si="55"/>
        <v>4</v>
      </c>
      <c r="U377">
        <f t="shared" si="56"/>
        <v>550.88</v>
      </c>
      <c r="V377">
        <f t="shared" si="57"/>
        <v>593.88</v>
      </c>
      <c r="W377">
        <f t="shared" si="58"/>
        <v>0.2</v>
      </c>
      <c r="X377">
        <f t="shared" si="59"/>
        <v>110.176</v>
      </c>
      <c r="Y377">
        <f t="shared" si="60"/>
        <v>483.70400000000001</v>
      </c>
      <c r="Z377" t="str">
        <f t="shared" si="61"/>
        <v>Mary Knight</v>
      </c>
      <c r="AA377" s="1" t="str">
        <f t="shared" si="62"/>
        <v>Late</v>
      </c>
      <c r="AB377" t="str">
        <f t="shared" si="63"/>
        <v>Nov</v>
      </c>
      <c r="AC377" s="9">
        <f t="shared" si="64"/>
        <v>2023</v>
      </c>
      <c r="AD377" t="str">
        <f t="shared" si="65"/>
        <v>yahoo.com</v>
      </c>
    </row>
    <row r="378" spans="1:30" x14ac:dyDescent="0.3">
      <c r="A378" t="s">
        <v>47</v>
      </c>
      <c r="B378" t="s">
        <v>145</v>
      </c>
      <c r="C378" t="s">
        <v>228</v>
      </c>
      <c r="D378">
        <v>24</v>
      </c>
      <c r="E378" t="s">
        <v>290</v>
      </c>
      <c r="F378" t="s">
        <v>298</v>
      </c>
      <c r="G378" t="s">
        <v>328</v>
      </c>
      <c r="H378" t="s">
        <v>428</v>
      </c>
      <c r="I378" t="s">
        <v>905</v>
      </c>
      <c r="J378" s="1">
        <v>45113</v>
      </c>
      <c r="K378" t="s">
        <v>1405</v>
      </c>
      <c r="L378" t="s">
        <v>1501</v>
      </c>
      <c r="M378">
        <v>330.11</v>
      </c>
      <c r="N378">
        <v>3</v>
      </c>
      <c r="O378" t="s">
        <v>1548</v>
      </c>
      <c r="P378">
        <v>2</v>
      </c>
      <c r="Q378">
        <v>56</v>
      </c>
      <c r="R378" s="1">
        <v>45117</v>
      </c>
      <c r="S378" t="s">
        <v>1954</v>
      </c>
      <c r="T378">
        <f t="shared" si="55"/>
        <v>4</v>
      </c>
      <c r="U378">
        <f t="shared" si="56"/>
        <v>990.33</v>
      </c>
      <c r="V378">
        <f t="shared" si="57"/>
        <v>1046.33</v>
      </c>
      <c r="W378">
        <f t="shared" si="58"/>
        <v>0.15</v>
      </c>
      <c r="X378">
        <f t="shared" si="59"/>
        <v>148.54949999999999</v>
      </c>
      <c r="Y378">
        <f t="shared" si="60"/>
        <v>897.78049999999996</v>
      </c>
      <c r="Z378" t="str">
        <f t="shared" si="61"/>
        <v>Rachael Robinson</v>
      </c>
      <c r="AA378" s="1" t="str">
        <f t="shared" si="62"/>
        <v>Late</v>
      </c>
      <c r="AB378" t="str">
        <f t="shared" si="63"/>
        <v>Jul</v>
      </c>
      <c r="AC378" s="9">
        <f t="shared" si="64"/>
        <v>2023</v>
      </c>
      <c r="AD378" t="str">
        <f t="shared" si="65"/>
        <v>rediffmail.com</v>
      </c>
    </row>
    <row r="379" spans="1:30" x14ac:dyDescent="0.3">
      <c r="A379" t="s">
        <v>61</v>
      </c>
      <c r="B379" t="s">
        <v>158</v>
      </c>
      <c r="C379" t="s">
        <v>242</v>
      </c>
      <c r="D379">
        <v>28</v>
      </c>
      <c r="E379" t="s">
        <v>290</v>
      </c>
      <c r="F379" t="s">
        <v>295</v>
      </c>
      <c r="G379" t="s">
        <v>342</v>
      </c>
      <c r="H379" t="s">
        <v>442</v>
      </c>
      <c r="I379" t="s">
        <v>876</v>
      </c>
      <c r="J379" s="1">
        <v>45307</v>
      </c>
      <c r="K379" t="s">
        <v>1376</v>
      </c>
      <c r="L379" t="s">
        <v>1511</v>
      </c>
      <c r="M379">
        <v>272.51</v>
      </c>
      <c r="N379">
        <v>3</v>
      </c>
      <c r="O379" t="s">
        <v>2047</v>
      </c>
      <c r="P379">
        <v>6</v>
      </c>
      <c r="Q379">
        <v>44</v>
      </c>
      <c r="R379" s="1">
        <v>45310</v>
      </c>
      <c r="S379" t="s">
        <v>1927</v>
      </c>
      <c r="T379">
        <f t="shared" si="55"/>
        <v>3</v>
      </c>
      <c r="U379">
        <f t="shared" si="56"/>
        <v>817.53</v>
      </c>
      <c r="V379">
        <f t="shared" si="57"/>
        <v>861.53</v>
      </c>
      <c r="W379">
        <f t="shared" si="58"/>
        <v>0.08</v>
      </c>
      <c r="X379">
        <f t="shared" si="59"/>
        <v>65.4024</v>
      </c>
      <c r="Y379">
        <f t="shared" si="60"/>
        <v>796.12760000000003</v>
      </c>
      <c r="Z379" t="str">
        <f t="shared" si="61"/>
        <v>Mary Knight</v>
      </c>
      <c r="AA379" s="1" t="str">
        <f t="shared" si="62"/>
        <v>Before Time</v>
      </c>
      <c r="AB379" t="str">
        <f t="shared" si="63"/>
        <v>Jan</v>
      </c>
      <c r="AC379" s="9">
        <f t="shared" si="64"/>
        <v>2024</v>
      </c>
      <c r="AD379" t="str">
        <f t="shared" si="65"/>
        <v>yahoo.com</v>
      </c>
    </row>
    <row r="380" spans="1:30" x14ac:dyDescent="0.3">
      <c r="A380" t="s">
        <v>86</v>
      </c>
      <c r="B380" t="s">
        <v>176</v>
      </c>
      <c r="C380" t="s">
        <v>263</v>
      </c>
      <c r="D380">
        <v>26</v>
      </c>
      <c r="E380" t="s">
        <v>290</v>
      </c>
      <c r="F380" t="s">
        <v>295</v>
      </c>
      <c r="G380" t="s">
        <v>367</v>
      </c>
      <c r="H380" t="s">
        <v>467</v>
      </c>
      <c r="I380" t="s">
        <v>877</v>
      </c>
      <c r="J380" s="1">
        <v>45238</v>
      </c>
      <c r="K380" t="s">
        <v>1377</v>
      </c>
      <c r="L380" t="s">
        <v>1508</v>
      </c>
      <c r="M380">
        <v>175.93</v>
      </c>
      <c r="N380">
        <v>4</v>
      </c>
      <c r="O380" t="s">
        <v>1550</v>
      </c>
      <c r="P380">
        <v>6</v>
      </c>
      <c r="Q380">
        <v>54</v>
      </c>
      <c r="R380" s="1">
        <v>45240</v>
      </c>
      <c r="S380" t="s">
        <v>1928</v>
      </c>
      <c r="T380">
        <f t="shared" si="55"/>
        <v>2</v>
      </c>
      <c r="U380">
        <f t="shared" si="56"/>
        <v>703.72</v>
      </c>
      <c r="V380">
        <f t="shared" si="57"/>
        <v>757.72</v>
      </c>
      <c r="W380">
        <f t="shared" si="58"/>
        <v>0.2</v>
      </c>
      <c r="X380">
        <f t="shared" si="59"/>
        <v>140.744</v>
      </c>
      <c r="Y380">
        <f t="shared" si="60"/>
        <v>616.976</v>
      </c>
      <c r="Z380" t="str">
        <f t="shared" si="61"/>
        <v>Gregory Lee</v>
      </c>
      <c r="AA380" s="1" t="str">
        <f t="shared" si="62"/>
        <v>Before Time</v>
      </c>
      <c r="AB380" t="str">
        <f t="shared" si="63"/>
        <v>Nov</v>
      </c>
      <c r="AC380" s="9">
        <f t="shared" si="64"/>
        <v>2023</v>
      </c>
      <c r="AD380" t="str">
        <f t="shared" si="65"/>
        <v>rediffmail.com</v>
      </c>
    </row>
    <row r="381" spans="1:30" x14ac:dyDescent="0.3">
      <c r="A381" t="s">
        <v>63</v>
      </c>
      <c r="B381" t="s">
        <v>144</v>
      </c>
      <c r="C381" t="s">
        <v>244</v>
      </c>
      <c r="D381">
        <v>62</v>
      </c>
      <c r="E381" t="s">
        <v>289</v>
      </c>
      <c r="F381" t="s">
        <v>292</v>
      </c>
      <c r="G381" t="s">
        <v>344</v>
      </c>
      <c r="H381" t="s">
        <v>444</v>
      </c>
      <c r="I381" t="s">
        <v>618</v>
      </c>
      <c r="J381" s="1">
        <v>45459</v>
      </c>
      <c r="K381" t="s">
        <v>1118</v>
      </c>
      <c r="L381" t="s">
        <v>1530</v>
      </c>
      <c r="M381">
        <v>369.03</v>
      </c>
      <c r="N381">
        <v>3</v>
      </c>
      <c r="O381" t="s">
        <v>2047</v>
      </c>
      <c r="P381">
        <v>6</v>
      </c>
      <c r="Q381">
        <v>57</v>
      </c>
      <c r="R381" s="1">
        <v>45461</v>
      </c>
      <c r="S381" t="s">
        <v>1670</v>
      </c>
      <c r="T381">
        <f t="shared" si="55"/>
        <v>2</v>
      </c>
      <c r="U381">
        <f t="shared" si="56"/>
        <v>1107.0899999999999</v>
      </c>
      <c r="V381">
        <f t="shared" si="57"/>
        <v>1164.0899999999999</v>
      </c>
      <c r="W381">
        <f t="shared" si="58"/>
        <v>0.08</v>
      </c>
      <c r="X381">
        <f t="shared" si="59"/>
        <v>88.5672</v>
      </c>
      <c r="Y381">
        <f t="shared" si="60"/>
        <v>1075.5228</v>
      </c>
      <c r="Z381" t="str">
        <f t="shared" si="61"/>
        <v>Lauren Crane</v>
      </c>
      <c r="AA381" s="1" t="str">
        <f t="shared" si="62"/>
        <v>Before Time</v>
      </c>
      <c r="AB381" t="str">
        <f t="shared" si="63"/>
        <v>Jun</v>
      </c>
      <c r="AC381" s="9">
        <f t="shared" si="64"/>
        <v>2024</v>
      </c>
      <c r="AD381" t="str">
        <f t="shared" si="65"/>
        <v>yahoo.com</v>
      </c>
    </row>
    <row r="382" spans="1:30" x14ac:dyDescent="0.3">
      <c r="A382" t="s">
        <v>112</v>
      </c>
      <c r="B382" t="s">
        <v>164</v>
      </c>
      <c r="C382" t="s">
        <v>284</v>
      </c>
      <c r="D382">
        <v>40</v>
      </c>
      <c r="E382" t="s">
        <v>290</v>
      </c>
      <c r="F382" t="s">
        <v>298</v>
      </c>
      <c r="G382" t="s">
        <v>393</v>
      </c>
      <c r="H382" t="s">
        <v>493</v>
      </c>
      <c r="I382" t="s">
        <v>879</v>
      </c>
      <c r="J382" s="1">
        <v>45040</v>
      </c>
      <c r="K382" t="s">
        <v>1379</v>
      </c>
      <c r="L382" t="s">
        <v>1506</v>
      </c>
      <c r="M382">
        <v>372.62</v>
      </c>
      <c r="N382">
        <v>2</v>
      </c>
      <c r="O382" t="s">
        <v>1550</v>
      </c>
      <c r="P382">
        <v>2</v>
      </c>
      <c r="Q382">
        <v>47</v>
      </c>
      <c r="R382" s="1">
        <v>45041</v>
      </c>
      <c r="S382" t="s">
        <v>1930</v>
      </c>
      <c r="T382">
        <f t="shared" si="55"/>
        <v>1</v>
      </c>
      <c r="U382">
        <f t="shared" si="56"/>
        <v>745.24</v>
      </c>
      <c r="V382">
        <f t="shared" si="57"/>
        <v>792.24</v>
      </c>
      <c r="W382">
        <f t="shared" si="58"/>
        <v>0.2</v>
      </c>
      <c r="X382">
        <f t="shared" si="59"/>
        <v>149.048</v>
      </c>
      <c r="Y382">
        <f t="shared" si="60"/>
        <v>643.19200000000001</v>
      </c>
      <c r="Z382" t="str">
        <f t="shared" si="61"/>
        <v>Sarah Benson</v>
      </c>
      <c r="AA382" s="1" t="str">
        <f t="shared" si="62"/>
        <v>Before Time</v>
      </c>
      <c r="AB382" t="str">
        <f t="shared" si="63"/>
        <v>Apr</v>
      </c>
      <c r="AC382" s="9">
        <f t="shared" si="64"/>
        <v>2023</v>
      </c>
      <c r="AD382" t="str">
        <f t="shared" si="65"/>
        <v>outlook.com</v>
      </c>
    </row>
    <row r="383" spans="1:30" x14ac:dyDescent="0.3">
      <c r="A383" t="s">
        <v>53</v>
      </c>
      <c r="B383" t="s">
        <v>151</v>
      </c>
      <c r="C383" t="s">
        <v>234</v>
      </c>
      <c r="D383">
        <v>70</v>
      </c>
      <c r="E383" t="s">
        <v>288</v>
      </c>
      <c r="F383" t="s">
        <v>297</v>
      </c>
      <c r="G383" t="s">
        <v>334</v>
      </c>
      <c r="H383" t="s">
        <v>434</v>
      </c>
      <c r="I383" t="s">
        <v>880</v>
      </c>
      <c r="J383" s="1">
        <v>45270</v>
      </c>
      <c r="K383" t="s">
        <v>1380</v>
      </c>
      <c r="L383" t="s">
        <v>1500</v>
      </c>
      <c r="M383">
        <v>44.5</v>
      </c>
      <c r="N383">
        <v>1</v>
      </c>
      <c r="O383" t="s">
        <v>1547</v>
      </c>
      <c r="P383">
        <v>1</v>
      </c>
      <c r="Q383">
        <v>37</v>
      </c>
      <c r="R383" s="1">
        <v>45277</v>
      </c>
      <c r="S383" t="s">
        <v>1931</v>
      </c>
      <c r="T383">
        <f t="shared" si="55"/>
        <v>7</v>
      </c>
      <c r="U383">
        <f t="shared" si="56"/>
        <v>44.5</v>
      </c>
      <c r="V383">
        <f t="shared" si="57"/>
        <v>44.5</v>
      </c>
      <c r="W383">
        <f t="shared" si="58"/>
        <v>0</v>
      </c>
      <c r="X383">
        <f t="shared" si="59"/>
        <v>0</v>
      </c>
      <c r="Y383">
        <f t="shared" si="60"/>
        <v>44.5</v>
      </c>
      <c r="Z383" t="str">
        <f t="shared" si="61"/>
        <v>Donna Oneill</v>
      </c>
      <c r="AA383" s="1" t="str">
        <f t="shared" si="62"/>
        <v>Late</v>
      </c>
      <c r="AB383" t="str">
        <f t="shared" si="63"/>
        <v>Dec</v>
      </c>
      <c r="AC383" s="9">
        <f t="shared" si="64"/>
        <v>2023</v>
      </c>
      <c r="AD383" t="str">
        <f t="shared" si="65"/>
        <v>yahoo.com</v>
      </c>
    </row>
    <row r="384" spans="1:30" x14ac:dyDescent="0.3">
      <c r="A384" t="s">
        <v>66</v>
      </c>
      <c r="B384" t="s">
        <v>127</v>
      </c>
      <c r="C384" t="s">
        <v>247</v>
      </c>
      <c r="D384">
        <v>33</v>
      </c>
      <c r="E384" t="s">
        <v>288</v>
      </c>
      <c r="F384" t="s">
        <v>297</v>
      </c>
      <c r="G384" t="s">
        <v>347</v>
      </c>
      <c r="H384" t="s">
        <v>447</v>
      </c>
      <c r="I384" t="s">
        <v>881</v>
      </c>
      <c r="J384" s="1">
        <v>45060</v>
      </c>
      <c r="K384" t="s">
        <v>1381</v>
      </c>
      <c r="L384" t="s">
        <v>1524</v>
      </c>
      <c r="M384">
        <v>157.63999999999999</v>
      </c>
      <c r="N384">
        <v>1</v>
      </c>
      <c r="O384" t="s">
        <v>1549</v>
      </c>
      <c r="P384">
        <v>7</v>
      </c>
      <c r="Q384">
        <v>48</v>
      </c>
      <c r="R384" s="1">
        <v>45067</v>
      </c>
      <c r="S384" t="s">
        <v>1932</v>
      </c>
      <c r="T384">
        <f t="shared" si="55"/>
        <v>7</v>
      </c>
      <c r="U384">
        <f t="shared" si="56"/>
        <v>157.63999999999999</v>
      </c>
      <c r="V384">
        <f t="shared" si="57"/>
        <v>205.64</v>
      </c>
      <c r="W384">
        <f t="shared" si="58"/>
        <v>0.1</v>
      </c>
      <c r="X384">
        <f t="shared" si="59"/>
        <v>15.763999999999999</v>
      </c>
      <c r="Y384">
        <f t="shared" si="60"/>
        <v>189.87599999999998</v>
      </c>
      <c r="Z384" t="str">
        <f t="shared" si="61"/>
        <v>Debra Hayes</v>
      </c>
      <c r="AA384" s="1" t="str">
        <f t="shared" si="62"/>
        <v>In Time</v>
      </c>
      <c r="AB384" t="str">
        <f t="shared" si="63"/>
        <v>May</v>
      </c>
      <c r="AC384" s="9">
        <f t="shared" si="64"/>
        <v>2023</v>
      </c>
      <c r="AD384" t="str">
        <f t="shared" si="65"/>
        <v>yahoo.com</v>
      </c>
    </row>
    <row r="385" spans="1:30" x14ac:dyDescent="0.3">
      <c r="A385" t="s">
        <v>36</v>
      </c>
      <c r="B385" t="s">
        <v>136</v>
      </c>
      <c r="C385" t="s">
        <v>217</v>
      </c>
      <c r="D385">
        <v>34</v>
      </c>
      <c r="E385" t="s">
        <v>288</v>
      </c>
      <c r="F385" t="s">
        <v>296</v>
      </c>
      <c r="G385" t="s">
        <v>317</v>
      </c>
      <c r="H385" t="s">
        <v>417</v>
      </c>
      <c r="I385" t="s">
        <v>882</v>
      </c>
      <c r="J385" s="1">
        <v>45243</v>
      </c>
      <c r="K385" t="s">
        <v>1382</v>
      </c>
      <c r="L385" t="s">
        <v>1513</v>
      </c>
      <c r="M385">
        <v>20.7</v>
      </c>
      <c r="N385">
        <v>3</v>
      </c>
      <c r="O385" t="s">
        <v>2047</v>
      </c>
      <c r="P385">
        <v>5</v>
      </c>
      <c r="Q385">
        <v>46</v>
      </c>
      <c r="R385" s="1">
        <v>45245</v>
      </c>
      <c r="S385" t="s">
        <v>1933</v>
      </c>
      <c r="T385">
        <f t="shared" si="55"/>
        <v>2</v>
      </c>
      <c r="U385">
        <f t="shared" si="56"/>
        <v>62.099999999999994</v>
      </c>
      <c r="V385">
        <f t="shared" si="57"/>
        <v>108.1</v>
      </c>
      <c r="W385">
        <f t="shared" si="58"/>
        <v>0.08</v>
      </c>
      <c r="X385">
        <f t="shared" si="59"/>
        <v>4.968</v>
      </c>
      <c r="Y385">
        <f t="shared" si="60"/>
        <v>103.13199999999999</v>
      </c>
      <c r="Z385" t="str">
        <f t="shared" si="61"/>
        <v>Traci Jones</v>
      </c>
      <c r="AA385" s="1" t="str">
        <f t="shared" si="62"/>
        <v>Before Time</v>
      </c>
      <c r="AB385" t="str">
        <f t="shared" si="63"/>
        <v>Nov</v>
      </c>
      <c r="AC385" s="9">
        <f t="shared" si="64"/>
        <v>2023</v>
      </c>
      <c r="AD385" t="str">
        <f t="shared" si="65"/>
        <v>yahoo.com</v>
      </c>
    </row>
    <row r="386" spans="1:30" x14ac:dyDescent="0.3">
      <c r="A386" t="s">
        <v>80</v>
      </c>
      <c r="B386" t="s">
        <v>131</v>
      </c>
      <c r="C386" t="s">
        <v>257</v>
      </c>
      <c r="D386">
        <v>44</v>
      </c>
      <c r="E386" t="s">
        <v>290</v>
      </c>
      <c r="F386" t="s">
        <v>296</v>
      </c>
      <c r="G386" t="s">
        <v>361</v>
      </c>
      <c r="H386" t="s">
        <v>461</v>
      </c>
      <c r="I386" t="s">
        <v>883</v>
      </c>
      <c r="J386" s="1">
        <v>45264</v>
      </c>
      <c r="K386" t="s">
        <v>1383</v>
      </c>
      <c r="L386" t="s">
        <v>1529</v>
      </c>
      <c r="M386">
        <v>128.13999999999999</v>
      </c>
      <c r="N386">
        <v>3</v>
      </c>
      <c r="O386" t="s">
        <v>1550</v>
      </c>
      <c r="P386">
        <v>2</v>
      </c>
      <c r="Q386">
        <v>49</v>
      </c>
      <c r="R386" s="1">
        <v>45270</v>
      </c>
      <c r="S386" t="s">
        <v>1934</v>
      </c>
      <c r="T386">
        <f t="shared" si="55"/>
        <v>6</v>
      </c>
      <c r="U386">
        <f t="shared" si="56"/>
        <v>384.41999999999996</v>
      </c>
      <c r="V386">
        <f t="shared" si="57"/>
        <v>433.41999999999996</v>
      </c>
      <c r="W386">
        <f t="shared" si="58"/>
        <v>0.2</v>
      </c>
      <c r="X386">
        <f t="shared" si="59"/>
        <v>76.884</v>
      </c>
      <c r="Y386">
        <f t="shared" si="60"/>
        <v>356.53599999999994</v>
      </c>
      <c r="Z386" t="str">
        <f t="shared" si="61"/>
        <v>Amy Ellis</v>
      </c>
      <c r="AA386" s="1" t="str">
        <f t="shared" si="62"/>
        <v>Late</v>
      </c>
      <c r="AB386" t="str">
        <f t="shared" si="63"/>
        <v>Dec</v>
      </c>
      <c r="AC386" s="9">
        <f t="shared" si="64"/>
        <v>2023</v>
      </c>
      <c r="AD386" t="str">
        <f t="shared" si="65"/>
        <v>gmail.com</v>
      </c>
    </row>
    <row r="387" spans="1:30" x14ac:dyDescent="0.3">
      <c r="A387" t="s">
        <v>81</v>
      </c>
      <c r="B387" t="s">
        <v>171</v>
      </c>
      <c r="C387" t="s">
        <v>258</v>
      </c>
      <c r="D387">
        <v>45</v>
      </c>
      <c r="E387" t="s">
        <v>290</v>
      </c>
      <c r="F387" t="s">
        <v>296</v>
      </c>
      <c r="G387" t="s">
        <v>362</v>
      </c>
      <c r="H387" t="s">
        <v>462</v>
      </c>
      <c r="I387" t="s">
        <v>884</v>
      </c>
      <c r="J387" s="1">
        <v>45404</v>
      </c>
      <c r="K387" t="s">
        <v>1384</v>
      </c>
      <c r="L387" t="s">
        <v>1524</v>
      </c>
      <c r="M387">
        <v>157.63999999999999</v>
      </c>
      <c r="N387">
        <v>3</v>
      </c>
      <c r="O387" t="s">
        <v>2047</v>
      </c>
      <c r="P387">
        <v>4</v>
      </c>
      <c r="Q387">
        <v>66</v>
      </c>
      <c r="R387" s="1">
        <v>45405</v>
      </c>
      <c r="S387" t="s">
        <v>1843</v>
      </c>
      <c r="T387">
        <f t="shared" ref="T387:T450" si="66">R387-J387</f>
        <v>1</v>
      </c>
      <c r="U387">
        <f t="shared" ref="U387:U450" si="67">M387*N387</f>
        <v>472.91999999999996</v>
      </c>
      <c r="V387">
        <f t="shared" ref="V387:V450" si="68">IF(O387="DEL0",U387,U387+Q387)</f>
        <v>538.91999999999996</v>
      </c>
      <c r="W387">
        <f t="shared" ref="W387:W450" si="69">IF(O387="FLAT8",8%,IF(O387="FLAT10",10%,IF(O387="FLAT15",15%,IF(O387="FLAT20",20%,0))))</f>
        <v>0.08</v>
      </c>
      <c r="X387">
        <f t="shared" ref="X387:X450" si="70">U387*W387</f>
        <v>37.833599999999997</v>
      </c>
      <c r="Y387">
        <f t="shared" ref="Y387:Y450" si="71">V387-X387</f>
        <v>501.08639999999997</v>
      </c>
      <c r="Z387" t="str">
        <f t="shared" ref="Z387:Z450" si="72">B387&amp;" "&amp;C387</f>
        <v>Beth Mason</v>
      </c>
      <c r="AA387" s="1" t="str">
        <f t="shared" ref="AA387:AA450" si="73">IF(R387&lt;(J387+P387),"Before Time",IF(R387=(J387+P387),"In Time","Late"))</f>
        <v>Before Time</v>
      </c>
      <c r="AB387" t="str">
        <f t="shared" ref="AB387:AB450" si="74">TEXT(J387,"MMM")</f>
        <v>Apr</v>
      </c>
      <c r="AC387" s="9">
        <f t="shared" ref="AC387:AC450" si="75">YEAR(J387)</f>
        <v>2024</v>
      </c>
      <c r="AD387" t="str">
        <f t="shared" ref="AD387:AD450" si="76">RIGHT(G387,LEN(G387)-FIND("@",G387))</f>
        <v>outlook.com</v>
      </c>
    </row>
    <row r="388" spans="1:30" x14ac:dyDescent="0.3">
      <c r="A388" t="s">
        <v>19</v>
      </c>
      <c r="B388" t="s">
        <v>119</v>
      </c>
      <c r="C388" t="s">
        <v>154</v>
      </c>
      <c r="D388">
        <v>53</v>
      </c>
      <c r="E388" t="s">
        <v>289</v>
      </c>
      <c r="F388" t="s">
        <v>292</v>
      </c>
      <c r="G388" t="s">
        <v>300</v>
      </c>
      <c r="H388" t="s">
        <v>400</v>
      </c>
      <c r="I388" t="s">
        <v>885</v>
      </c>
      <c r="J388" s="1">
        <v>45469</v>
      </c>
      <c r="K388" t="s">
        <v>1385</v>
      </c>
      <c r="L388" t="s">
        <v>1506</v>
      </c>
      <c r="M388">
        <v>372.62</v>
      </c>
      <c r="N388">
        <v>1</v>
      </c>
      <c r="O388" t="s">
        <v>1549</v>
      </c>
      <c r="P388">
        <v>1</v>
      </c>
      <c r="Q388">
        <v>66</v>
      </c>
      <c r="R388" s="1">
        <v>45471</v>
      </c>
      <c r="S388" t="s">
        <v>1935</v>
      </c>
      <c r="T388">
        <f t="shared" si="66"/>
        <v>2</v>
      </c>
      <c r="U388">
        <f t="shared" si="67"/>
        <v>372.62</v>
      </c>
      <c r="V388">
        <f t="shared" si="68"/>
        <v>438.62</v>
      </c>
      <c r="W388">
        <f t="shared" si="69"/>
        <v>0.1</v>
      </c>
      <c r="X388">
        <f t="shared" si="70"/>
        <v>37.262</v>
      </c>
      <c r="Y388">
        <f t="shared" si="71"/>
        <v>401.358</v>
      </c>
      <c r="Z388" t="str">
        <f t="shared" si="72"/>
        <v>Anthony Thomas</v>
      </c>
      <c r="AA388" s="1" t="str">
        <f t="shared" si="73"/>
        <v>Late</v>
      </c>
      <c r="AB388" t="str">
        <f t="shared" si="74"/>
        <v>Jun</v>
      </c>
      <c r="AC388" s="9">
        <f t="shared" si="75"/>
        <v>2024</v>
      </c>
      <c r="AD388" t="str">
        <f t="shared" si="76"/>
        <v>rediffmail.com</v>
      </c>
    </row>
    <row r="389" spans="1:30" x14ac:dyDescent="0.3">
      <c r="A389" t="s">
        <v>63</v>
      </c>
      <c r="B389" t="s">
        <v>144</v>
      </c>
      <c r="C389" t="s">
        <v>244</v>
      </c>
      <c r="D389">
        <v>62</v>
      </c>
      <c r="E389" t="s">
        <v>289</v>
      </c>
      <c r="F389" t="s">
        <v>292</v>
      </c>
      <c r="G389" t="s">
        <v>344</v>
      </c>
      <c r="H389" t="s">
        <v>444</v>
      </c>
      <c r="I389" t="s">
        <v>740</v>
      </c>
      <c r="J389" s="1">
        <v>45116</v>
      </c>
      <c r="K389" t="s">
        <v>1240</v>
      </c>
      <c r="L389" t="s">
        <v>1503</v>
      </c>
      <c r="M389">
        <v>363.64</v>
      </c>
      <c r="N389">
        <v>4</v>
      </c>
      <c r="O389" t="s">
        <v>1547</v>
      </c>
      <c r="P389">
        <v>6</v>
      </c>
      <c r="Q389">
        <v>56</v>
      </c>
      <c r="R389" s="1">
        <v>45121</v>
      </c>
      <c r="S389" t="s">
        <v>1791</v>
      </c>
      <c r="T389">
        <f t="shared" si="66"/>
        <v>5</v>
      </c>
      <c r="U389">
        <f t="shared" si="67"/>
        <v>1454.56</v>
      </c>
      <c r="V389">
        <f t="shared" si="68"/>
        <v>1454.56</v>
      </c>
      <c r="W389">
        <f t="shared" si="69"/>
        <v>0</v>
      </c>
      <c r="X389">
        <f t="shared" si="70"/>
        <v>0</v>
      </c>
      <c r="Y389">
        <f t="shared" si="71"/>
        <v>1454.56</v>
      </c>
      <c r="Z389" t="str">
        <f t="shared" si="72"/>
        <v>Lauren Crane</v>
      </c>
      <c r="AA389" s="1" t="str">
        <f t="shared" si="73"/>
        <v>Before Time</v>
      </c>
      <c r="AB389" t="str">
        <f t="shared" si="74"/>
        <v>Jul</v>
      </c>
      <c r="AC389" s="9">
        <f t="shared" si="75"/>
        <v>2023</v>
      </c>
      <c r="AD389" t="str">
        <f t="shared" si="76"/>
        <v>yahoo.com</v>
      </c>
    </row>
    <row r="390" spans="1:30" x14ac:dyDescent="0.3">
      <c r="A390" t="s">
        <v>41</v>
      </c>
      <c r="B390" t="s">
        <v>122</v>
      </c>
      <c r="C390" t="s">
        <v>222</v>
      </c>
      <c r="D390">
        <v>52</v>
      </c>
      <c r="E390" t="s">
        <v>290</v>
      </c>
      <c r="F390" t="s">
        <v>292</v>
      </c>
      <c r="G390" t="s">
        <v>322</v>
      </c>
      <c r="H390" t="s">
        <v>422</v>
      </c>
      <c r="I390" t="s">
        <v>887</v>
      </c>
      <c r="J390" s="1">
        <v>45397</v>
      </c>
      <c r="K390" t="s">
        <v>1387</v>
      </c>
      <c r="L390" t="s">
        <v>1531</v>
      </c>
      <c r="M390">
        <v>286.07</v>
      </c>
      <c r="N390">
        <v>5</v>
      </c>
      <c r="O390" t="s">
        <v>1547</v>
      </c>
      <c r="P390">
        <v>1</v>
      </c>
      <c r="Q390">
        <v>41</v>
      </c>
      <c r="R390" s="1">
        <v>45404</v>
      </c>
      <c r="S390" t="s">
        <v>1937</v>
      </c>
      <c r="T390">
        <f t="shared" si="66"/>
        <v>7</v>
      </c>
      <c r="U390">
        <f t="shared" si="67"/>
        <v>1430.35</v>
      </c>
      <c r="V390">
        <f t="shared" si="68"/>
        <v>1430.35</v>
      </c>
      <c r="W390">
        <f t="shared" si="69"/>
        <v>0</v>
      </c>
      <c r="X390">
        <f t="shared" si="70"/>
        <v>0</v>
      </c>
      <c r="Y390">
        <f t="shared" si="71"/>
        <v>1430.35</v>
      </c>
      <c r="Z390" t="str">
        <f t="shared" si="72"/>
        <v>Angela Evans</v>
      </c>
      <c r="AA390" s="1" t="str">
        <f t="shared" si="73"/>
        <v>Late</v>
      </c>
      <c r="AB390" t="str">
        <f t="shared" si="74"/>
        <v>Apr</v>
      </c>
      <c r="AC390" s="9">
        <f t="shared" si="75"/>
        <v>2024</v>
      </c>
      <c r="AD390" t="str">
        <f t="shared" si="76"/>
        <v>outlook.com</v>
      </c>
    </row>
    <row r="391" spans="1:30" x14ac:dyDescent="0.3">
      <c r="A391" t="s">
        <v>74</v>
      </c>
      <c r="B391" t="s">
        <v>167</v>
      </c>
      <c r="C391" t="s">
        <v>252</v>
      </c>
      <c r="D391">
        <v>33</v>
      </c>
      <c r="E391" t="s">
        <v>290</v>
      </c>
      <c r="F391" t="s">
        <v>297</v>
      </c>
      <c r="G391" t="s">
        <v>355</v>
      </c>
      <c r="H391" t="s">
        <v>455</v>
      </c>
      <c r="I391" t="s">
        <v>888</v>
      </c>
      <c r="J391" s="1">
        <v>45302</v>
      </c>
      <c r="K391" t="s">
        <v>1388</v>
      </c>
      <c r="L391" t="s">
        <v>1517</v>
      </c>
      <c r="M391">
        <v>282.63</v>
      </c>
      <c r="N391">
        <v>3</v>
      </c>
      <c r="O391" t="s">
        <v>1547</v>
      </c>
      <c r="P391">
        <v>4</v>
      </c>
      <c r="Q391">
        <v>66</v>
      </c>
      <c r="R391" s="1">
        <v>45307</v>
      </c>
      <c r="S391" t="s">
        <v>1111</v>
      </c>
      <c r="T391">
        <f t="shared" si="66"/>
        <v>5</v>
      </c>
      <c r="U391">
        <f t="shared" si="67"/>
        <v>847.89</v>
      </c>
      <c r="V391">
        <f t="shared" si="68"/>
        <v>847.89</v>
      </c>
      <c r="W391">
        <f t="shared" si="69"/>
        <v>0</v>
      </c>
      <c r="X391">
        <f t="shared" si="70"/>
        <v>0</v>
      </c>
      <c r="Y391">
        <f t="shared" si="71"/>
        <v>847.89</v>
      </c>
      <c r="Z391" t="str">
        <f t="shared" si="72"/>
        <v>Jodi Whitney</v>
      </c>
      <c r="AA391" s="1" t="str">
        <f t="shared" si="73"/>
        <v>Late</v>
      </c>
      <c r="AB391" t="str">
        <f t="shared" si="74"/>
        <v>Jan</v>
      </c>
      <c r="AC391" s="9">
        <f t="shared" si="75"/>
        <v>2024</v>
      </c>
      <c r="AD391" t="str">
        <f t="shared" si="76"/>
        <v>yahoo.com</v>
      </c>
    </row>
    <row r="392" spans="1:30" x14ac:dyDescent="0.3">
      <c r="A392" t="s">
        <v>72</v>
      </c>
      <c r="B392" t="s">
        <v>144</v>
      </c>
      <c r="C392" t="s">
        <v>250</v>
      </c>
      <c r="D392">
        <v>30</v>
      </c>
      <c r="E392" t="s">
        <v>288</v>
      </c>
      <c r="F392" t="s">
        <v>298</v>
      </c>
      <c r="G392" t="s">
        <v>353</v>
      </c>
      <c r="H392" t="s">
        <v>453</v>
      </c>
      <c r="I392" t="s">
        <v>823</v>
      </c>
      <c r="J392" s="1">
        <v>45361</v>
      </c>
      <c r="K392" t="s">
        <v>1323</v>
      </c>
      <c r="L392" t="s">
        <v>1506</v>
      </c>
      <c r="M392">
        <v>372.62</v>
      </c>
      <c r="N392">
        <v>5</v>
      </c>
      <c r="O392" t="s">
        <v>2047</v>
      </c>
      <c r="P392">
        <v>4</v>
      </c>
      <c r="Q392">
        <v>66</v>
      </c>
      <c r="R392" s="1">
        <v>45364</v>
      </c>
      <c r="S392" t="s">
        <v>1874</v>
      </c>
      <c r="T392">
        <f t="shared" si="66"/>
        <v>3</v>
      </c>
      <c r="U392">
        <f t="shared" si="67"/>
        <v>1863.1</v>
      </c>
      <c r="V392">
        <f t="shared" si="68"/>
        <v>1929.1</v>
      </c>
      <c r="W392">
        <f t="shared" si="69"/>
        <v>0.08</v>
      </c>
      <c r="X392">
        <f t="shared" si="70"/>
        <v>149.048</v>
      </c>
      <c r="Y392">
        <f t="shared" si="71"/>
        <v>1780.0519999999999</v>
      </c>
      <c r="Z392" t="str">
        <f t="shared" si="72"/>
        <v>Lauren Lane</v>
      </c>
      <c r="AA392" s="1" t="str">
        <f t="shared" si="73"/>
        <v>Before Time</v>
      </c>
      <c r="AB392" t="str">
        <f t="shared" si="74"/>
        <v>Mar</v>
      </c>
      <c r="AC392" s="9">
        <f t="shared" si="75"/>
        <v>2024</v>
      </c>
      <c r="AD392" t="str">
        <f t="shared" si="76"/>
        <v>gmail.com</v>
      </c>
    </row>
    <row r="393" spans="1:30" x14ac:dyDescent="0.3">
      <c r="A393" t="s">
        <v>34</v>
      </c>
      <c r="B393" t="s">
        <v>134</v>
      </c>
      <c r="C393" t="s">
        <v>216</v>
      </c>
      <c r="D393">
        <v>36</v>
      </c>
      <c r="E393" t="s">
        <v>290</v>
      </c>
      <c r="F393" t="s">
        <v>294</v>
      </c>
      <c r="G393" t="s">
        <v>315</v>
      </c>
      <c r="H393" t="s">
        <v>415</v>
      </c>
      <c r="I393" t="s">
        <v>890</v>
      </c>
      <c r="J393" s="1">
        <v>45091</v>
      </c>
      <c r="K393" t="s">
        <v>1390</v>
      </c>
      <c r="L393" t="s">
        <v>1540</v>
      </c>
      <c r="M393">
        <v>424.82</v>
      </c>
      <c r="N393">
        <v>4</v>
      </c>
      <c r="O393" t="s">
        <v>1549</v>
      </c>
      <c r="P393">
        <v>5</v>
      </c>
      <c r="Q393">
        <v>58</v>
      </c>
      <c r="R393" s="1">
        <v>45098</v>
      </c>
      <c r="S393" t="s">
        <v>1939</v>
      </c>
      <c r="T393">
        <f t="shared" si="66"/>
        <v>7</v>
      </c>
      <c r="U393">
        <f t="shared" si="67"/>
        <v>1699.28</v>
      </c>
      <c r="V393">
        <f t="shared" si="68"/>
        <v>1757.28</v>
      </c>
      <c r="W393">
        <f t="shared" si="69"/>
        <v>0.1</v>
      </c>
      <c r="X393">
        <f t="shared" si="70"/>
        <v>169.928</v>
      </c>
      <c r="Y393">
        <f t="shared" si="71"/>
        <v>1587.3519999999999</v>
      </c>
      <c r="Z393" t="str">
        <f t="shared" si="72"/>
        <v>Gina Moreno</v>
      </c>
      <c r="AA393" s="1" t="str">
        <f t="shared" si="73"/>
        <v>Late</v>
      </c>
      <c r="AB393" t="str">
        <f t="shared" si="74"/>
        <v>Jun</v>
      </c>
      <c r="AC393" s="9">
        <f t="shared" si="75"/>
        <v>2023</v>
      </c>
      <c r="AD393" t="str">
        <f t="shared" si="76"/>
        <v>rediffmail.com</v>
      </c>
    </row>
    <row r="394" spans="1:30" x14ac:dyDescent="0.3">
      <c r="A394" t="s">
        <v>59</v>
      </c>
      <c r="B394" t="s">
        <v>156</v>
      </c>
      <c r="C394" t="s">
        <v>240</v>
      </c>
      <c r="D394">
        <v>70</v>
      </c>
      <c r="E394" t="s">
        <v>288</v>
      </c>
      <c r="F394" t="s">
        <v>291</v>
      </c>
      <c r="G394" t="s">
        <v>340</v>
      </c>
      <c r="H394" t="s">
        <v>440</v>
      </c>
      <c r="I394" t="s">
        <v>891</v>
      </c>
      <c r="J394" s="1">
        <v>45172</v>
      </c>
      <c r="K394" t="s">
        <v>1391</v>
      </c>
      <c r="L394" t="s">
        <v>1519</v>
      </c>
      <c r="M394">
        <v>421.7</v>
      </c>
      <c r="N394">
        <v>3</v>
      </c>
      <c r="O394" t="s">
        <v>1547</v>
      </c>
      <c r="P394">
        <v>3</v>
      </c>
      <c r="Q394">
        <v>56</v>
      </c>
      <c r="R394" s="1">
        <v>45177</v>
      </c>
      <c r="S394" t="s">
        <v>1940</v>
      </c>
      <c r="T394">
        <f t="shared" si="66"/>
        <v>5</v>
      </c>
      <c r="U394">
        <f t="shared" si="67"/>
        <v>1265.0999999999999</v>
      </c>
      <c r="V394">
        <f t="shared" si="68"/>
        <v>1265.0999999999999</v>
      </c>
      <c r="W394">
        <f t="shared" si="69"/>
        <v>0</v>
      </c>
      <c r="X394">
        <f t="shared" si="70"/>
        <v>0</v>
      </c>
      <c r="Y394">
        <f t="shared" si="71"/>
        <v>1265.0999999999999</v>
      </c>
      <c r="Z394" t="str">
        <f t="shared" si="72"/>
        <v>Alexandra Smith</v>
      </c>
      <c r="AA394" s="1" t="str">
        <f t="shared" si="73"/>
        <v>Late</v>
      </c>
      <c r="AB394" t="str">
        <f t="shared" si="74"/>
        <v>Sep</v>
      </c>
      <c r="AC394" s="9">
        <f t="shared" si="75"/>
        <v>2023</v>
      </c>
      <c r="AD394" t="str">
        <f t="shared" si="76"/>
        <v>rediffmail.com</v>
      </c>
    </row>
    <row r="395" spans="1:30" x14ac:dyDescent="0.3">
      <c r="A395" t="s">
        <v>87</v>
      </c>
      <c r="B395" t="s">
        <v>177</v>
      </c>
      <c r="C395" t="s">
        <v>264</v>
      </c>
      <c r="D395">
        <v>32</v>
      </c>
      <c r="E395" t="s">
        <v>289</v>
      </c>
      <c r="F395" t="s">
        <v>291</v>
      </c>
      <c r="G395" t="s">
        <v>368</v>
      </c>
      <c r="H395" t="s">
        <v>468</v>
      </c>
      <c r="I395" t="s">
        <v>892</v>
      </c>
      <c r="J395" s="1">
        <v>45343</v>
      </c>
      <c r="K395" t="s">
        <v>1392</v>
      </c>
      <c r="L395" t="s">
        <v>1545</v>
      </c>
      <c r="M395">
        <v>292.14999999999998</v>
      </c>
      <c r="N395">
        <v>2</v>
      </c>
      <c r="O395" t="s">
        <v>1548</v>
      </c>
      <c r="P395">
        <v>6</v>
      </c>
      <c r="Q395">
        <v>60</v>
      </c>
      <c r="R395" s="1">
        <v>45348</v>
      </c>
      <c r="S395" t="s">
        <v>1941</v>
      </c>
      <c r="T395">
        <f t="shared" si="66"/>
        <v>5</v>
      </c>
      <c r="U395">
        <f t="shared" si="67"/>
        <v>584.29999999999995</v>
      </c>
      <c r="V395">
        <f t="shared" si="68"/>
        <v>644.29999999999995</v>
      </c>
      <c r="W395">
        <f t="shared" si="69"/>
        <v>0.15</v>
      </c>
      <c r="X395">
        <f t="shared" si="70"/>
        <v>87.644999999999996</v>
      </c>
      <c r="Y395">
        <f t="shared" si="71"/>
        <v>556.65499999999997</v>
      </c>
      <c r="Z395" t="str">
        <f t="shared" si="72"/>
        <v>Bruce Allen</v>
      </c>
      <c r="AA395" s="1" t="str">
        <f t="shared" si="73"/>
        <v>Before Time</v>
      </c>
      <c r="AB395" t="str">
        <f t="shared" si="74"/>
        <v>Feb</v>
      </c>
      <c r="AC395" s="9">
        <f t="shared" si="75"/>
        <v>2024</v>
      </c>
      <c r="AD395" t="str">
        <f t="shared" si="76"/>
        <v>rediffmail.com</v>
      </c>
    </row>
    <row r="396" spans="1:30" x14ac:dyDescent="0.3">
      <c r="A396" t="s">
        <v>39</v>
      </c>
      <c r="B396" t="s">
        <v>139</v>
      </c>
      <c r="C396" t="s">
        <v>220</v>
      </c>
      <c r="D396">
        <v>33</v>
      </c>
      <c r="E396" t="s">
        <v>290</v>
      </c>
      <c r="F396" t="s">
        <v>298</v>
      </c>
      <c r="G396" t="s">
        <v>320</v>
      </c>
      <c r="H396" t="s">
        <v>420</v>
      </c>
      <c r="I396" t="s">
        <v>893</v>
      </c>
      <c r="J396" s="1">
        <v>45657</v>
      </c>
      <c r="K396" t="s">
        <v>1393</v>
      </c>
      <c r="L396" t="s">
        <v>1506</v>
      </c>
      <c r="M396">
        <v>372.62</v>
      </c>
      <c r="N396">
        <v>1</v>
      </c>
      <c r="O396" t="s">
        <v>1548</v>
      </c>
      <c r="P396">
        <v>5</v>
      </c>
      <c r="Q396">
        <v>50</v>
      </c>
      <c r="R396" s="1">
        <v>45661</v>
      </c>
      <c r="S396" t="s">
        <v>1942</v>
      </c>
      <c r="T396">
        <f t="shared" si="66"/>
        <v>4</v>
      </c>
      <c r="U396">
        <f t="shared" si="67"/>
        <v>372.62</v>
      </c>
      <c r="V396">
        <f t="shared" si="68"/>
        <v>422.62</v>
      </c>
      <c r="W396">
        <f t="shared" si="69"/>
        <v>0.15</v>
      </c>
      <c r="X396">
        <f t="shared" si="70"/>
        <v>55.893000000000001</v>
      </c>
      <c r="Y396">
        <f t="shared" si="71"/>
        <v>366.72699999999998</v>
      </c>
      <c r="Z396" t="str">
        <f t="shared" si="72"/>
        <v>Mark Henderson</v>
      </c>
      <c r="AA396" s="1" t="str">
        <f t="shared" si="73"/>
        <v>Before Time</v>
      </c>
      <c r="AB396" t="str">
        <f t="shared" si="74"/>
        <v>Dec</v>
      </c>
      <c r="AC396" s="9">
        <f t="shared" si="75"/>
        <v>2024</v>
      </c>
      <c r="AD396" t="str">
        <f t="shared" si="76"/>
        <v>yahoo.com</v>
      </c>
    </row>
    <row r="397" spans="1:30" x14ac:dyDescent="0.3">
      <c r="A397" t="s">
        <v>63</v>
      </c>
      <c r="B397" t="s">
        <v>144</v>
      </c>
      <c r="C397" t="s">
        <v>244</v>
      </c>
      <c r="D397">
        <v>62</v>
      </c>
      <c r="E397" t="s">
        <v>289</v>
      </c>
      <c r="F397" t="s">
        <v>292</v>
      </c>
      <c r="G397" t="s">
        <v>344</v>
      </c>
      <c r="H397" t="s">
        <v>444</v>
      </c>
      <c r="I397" t="s">
        <v>742</v>
      </c>
      <c r="J397" s="1">
        <v>45340</v>
      </c>
      <c r="K397" t="s">
        <v>1242</v>
      </c>
      <c r="L397" t="s">
        <v>1505</v>
      </c>
      <c r="M397">
        <v>48.45</v>
      </c>
      <c r="N397">
        <v>3</v>
      </c>
      <c r="O397" t="s">
        <v>1548</v>
      </c>
      <c r="P397">
        <v>5</v>
      </c>
      <c r="Q397">
        <v>42</v>
      </c>
      <c r="R397" s="1">
        <v>45347</v>
      </c>
      <c r="S397" t="s">
        <v>1793</v>
      </c>
      <c r="T397">
        <f t="shared" si="66"/>
        <v>7</v>
      </c>
      <c r="U397">
        <f t="shared" si="67"/>
        <v>145.35000000000002</v>
      </c>
      <c r="V397">
        <f t="shared" si="68"/>
        <v>187.35000000000002</v>
      </c>
      <c r="W397">
        <f t="shared" si="69"/>
        <v>0.15</v>
      </c>
      <c r="X397">
        <f t="shared" si="70"/>
        <v>21.802500000000002</v>
      </c>
      <c r="Y397">
        <f t="shared" si="71"/>
        <v>165.54750000000001</v>
      </c>
      <c r="Z397" t="str">
        <f t="shared" si="72"/>
        <v>Lauren Crane</v>
      </c>
      <c r="AA397" s="1" t="str">
        <f t="shared" si="73"/>
        <v>Late</v>
      </c>
      <c r="AB397" t="str">
        <f t="shared" si="74"/>
        <v>Feb</v>
      </c>
      <c r="AC397" s="9">
        <f t="shared" si="75"/>
        <v>2024</v>
      </c>
      <c r="AD397" t="str">
        <f t="shared" si="76"/>
        <v>yahoo.com</v>
      </c>
    </row>
    <row r="398" spans="1:30" x14ac:dyDescent="0.3">
      <c r="A398" t="s">
        <v>82</v>
      </c>
      <c r="B398" t="s">
        <v>172</v>
      </c>
      <c r="C398" t="s">
        <v>259</v>
      </c>
      <c r="D398">
        <v>38</v>
      </c>
      <c r="E398" t="s">
        <v>289</v>
      </c>
      <c r="F398" t="s">
        <v>298</v>
      </c>
      <c r="G398" t="s">
        <v>363</v>
      </c>
      <c r="H398" t="s">
        <v>463</v>
      </c>
      <c r="I398" t="s">
        <v>895</v>
      </c>
      <c r="J398" s="1">
        <v>45312</v>
      </c>
      <c r="K398" t="s">
        <v>1395</v>
      </c>
      <c r="L398" t="s">
        <v>1509</v>
      </c>
      <c r="M398">
        <v>190.1</v>
      </c>
      <c r="N398">
        <v>3</v>
      </c>
      <c r="O398" t="s">
        <v>1549</v>
      </c>
      <c r="P398">
        <v>3</v>
      </c>
      <c r="Q398">
        <v>41</v>
      </c>
      <c r="R398" s="1">
        <v>45315</v>
      </c>
      <c r="S398" t="s">
        <v>1944</v>
      </c>
      <c r="T398">
        <f t="shared" si="66"/>
        <v>3</v>
      </c>
      <c r="U398">
        <f t="shared" si="67"/>
        <v>570.29999999999995</v>
      </c>
      <c r="V398">
        <f t="shared" si="68"/>
        <v>611.29999999999995</v>
      </c>
      <c r="W398">
        <f t="shared" si="69"/>
        <v>0.1</v>
      </c>
      <c r="X398">
        <f t="shared" si="70"/>
        <v>57.03</v>
      </c>
      <c r="Y398">
        <f t="shared" si="71"/>
        <v>554.27</v>
      </c>
      <c r="Z398" t="str">
        <f t="shared" si="72"/>
        <v>Christy Chang</v>
      </c>
      <c r="AA398" s="1" t="str">
        <f t="shared" si="73"/>
        <v>In Time</v>
      </c>
      <c r="AB398" t="str">
        <f t="shared" si="74"/>
        <v>Jan</v>
      </c>
      <c r="AC398" s="9">
        <f t="shared" si="75"/>
        <v>2024</v>
      </c>
      <c r="AD398" t="str">
        <f t="shared" si="76"/>
        <v>outlook.com</v>
      </c>
    </row>
    <row r="399" spans="1:30" x14ac:dyDescent="0.3">
      <c r="A399" t="s">
        <v>63</v>
      </c>
      <c r="B399" t="s">
        <v>144</v>
      </c>
      <c r="C399" t="s">
        <v>244</v>
      </c>
      <c r="D399">
        <v>62</v>
      </c>
      <c r="E399" t="s">
        <v>289</v>
      </c>
      <c r="F399" t="s">
        <v>292</v>
      </c>
      <c r="G399" t="s">
        <v>344</v>
      </c>
      <c r="H399" t="s">
        <v>444</v>
      </c>
      <c r="I399" t="s">
        <v>763</v>
      </c>
      <c r="J399" s="1">
        <v>45344</v>
      </c>
      <c r="K399" t="s">
        <v>1263</v>
      </c>
      <c r="L399" t="s">
        <v>1514</v>
      </c>
      <c r="M399">
        <v>461.07</v>
      </c>
      <c r="N399">
        <v>4</v>
      </c>
      <c r="O399" t="s">
        <v>1548</v>
      </c>
      <c r="P399">
        <v>1</v>
      </c>
      <c r="Q399">
        <v>66</v>
      </c>
      <c r="R399" s="1">
        <v>45346</v>
      </c>
      <c r="S399" t="s">
        <v>1814</v>
      </c>
      <c r="T399">
        <f t="shared" si="66"/>
        <v>2</v>
      </c>
      <c r="U399">
        <f t="shared" si="67"/>
        <v>1844.28</v>
      </c>
      <c r="V399">
        <f t="shared" si="68"/>
        <v>1910.28</v>
      </c>
      <c r="W399">
        <f t="shared" si="69"/>
        <v>0.15</v>
      </c>
      <c r="X399">
        <f t="shared" si="70"/>
        <v>276.642</v>
      </c>
      <c r="Y399">
        <f t="shared" si="71"/>
        <v>1633.6379999999999</v>
      </c>
      <c r="Z399" t="str">
        <f t="shared" si="72"/>
        <v>Lauren Crane</v>
      </c>
      <c r="AA399" s="1" t="str">
        <f t="shared" si="73"/>
        <v>Late</v>
      </c>
      <c r="AB399" t="str">
        <f t="shared" si="74"/>
        <v>Feb</v>
      </c>
      <c r="AC399" s="9">
        <f t="shared" si="75"/>
        <v>2024</v>
      </c>
      <c r="AD399" t="str">
        <f t="shared" si="76"/>
        <v>yahoo.com</v>
      </c>
    </row>
    <row r="400" spans="1:30" x14ac:dyDescent="0.3">
      <c r="A400" t="s">
        <v>51</v>
      </c>
      <c r="B400" t="s">
        <v>149</v>
      </c>
      <c r="C400" t="s">
        <v>232</v>
      </c>
      <c r="D400">
        <v>29</v>
      </c>
      <c r="E400" t="s">
        <v>290</v>
      </c>
      <c r="F400" t="s">
        <v>296</v>
      </c>
      <c r="G400" t="s">
        <v>332</v>
      </c>
      <c r="H400" t="s">
        <v>432</v>
      </c>
      <c r="I400" t="s">
        <v>897</v>
      </c>
      <c r="J400" s="1">
        <v>45295</v>
      </c>
      <c r="K400" t="s">
        <v>1397</v>
      </c>
      <c r="L400" t="s">
        <v>1524</v>
      </c>
      <c r="M400">
        <v>157.63999999999999</v>
      </c>
      <c r="N400">
        <v>5</v>
      </c>
      <c r="O400" t="s">
        <v>2047</v>
      </c>
      <c r="P400">
        <v>2</v>
      </c>
      <c r="Q400">
        <v>46</v>
      </c>
      <c r="R400" s="1">
        <v>45301</v>
      </c>
      <c r="S400" t="s">
        <v>1946</v>
      </c>
      <c r="T400">
        <f t="shared" si="66"/>
        <v>6</v>
      </c>
      <c r="U400">
        <f t="shared" si="67"/>
        <v>788.19999999999993</v>
      </c>
      <c r="V400">
        <f t="shared" si="68"/>
        <v>834.19999999999993</v>
      </c>
      <c r="W400">
        <f t="shared" si="69"/>
        <v>0.08</v>
      </c>
      <c r="X400">
        <f t="shared" si="70"/>
        <v>63.055999999999997</v>
      </c>
      <c r="Y400">
        <f t="shared" si="71"/>
        <v>771.14399999999989</v>
      </c>
      <c r="Z400" t="str">
        <f t="shared" si="72"/>
        <v>Courtney Parker</v>
      </c>
      <c r="AA400" s="1" t="str">
        <f t="shared" si="73"/>
        <v>Late</v>
      </c>
      <c r="AB400" t="str">
        <f t="shared" si="74"/>
        <v>Jan</v>
      </c>
      <c r="AC400" s="9">
        <f t="shared" si="75"/>
        <v>2024</v>
      </c>
      <c r="AD400" t="str">
        <f t="shared" si="76"/>
        <v>yahoo.com</v>
      </c>
    </row>
    <row r="401" spans="1:30" x14ac:dyDescent="0.3">
      <c r="A401" t="s">
        <v>37</v>
      </c>
      <c r="B401" t="s">
        <v>137</v>
      </c>
      <c r="C401" t="s">
        <v>218</v>
      </c>
      <c r="D401">
        <v>23</v>
      </c>
      <c r="E401" t="s">
        <v>288</v>
      </c>
      <c r="F401" t="s">
        <v>296</v>
      </c>
      <c r="G401" t="s">
        <v>318</v>
      </c>
      <c r="H401" t="s">
        <v>418</v>
      </c>
      <c r="I401" t="s">
        <v>898</v>
      </c>
      <c r="J401" s="1">
        <v>45477</v>
      </c>
      <c r="K401" t="s">
        <v>1398</v>
      </c>
      <c r="L401" t="s">
        <v>1537</v>
      </c>
      <c r="M401">
        <v>445.81</v>
      </c>
      <c r="N401">
        <v>3</v>
      </c>
      <c r="O401" t="s">
        <v>2047</v>
      </c>
      <c r="P401">
        <v>1</v>
      </c>
      <c r="Q401">
        <v>37</v>
      </c>
      <c r="R401" s="1">
        <v>45478</v>
      </c>
      <c r="S401" t="s">
        <v>1947</v>
      </c>
      <c r="T401">
        <f t="shared" si="66"/>
        <v>1</v>
      </c>
      <c r="U401">
        <f t="shared" si="67"/>
        <v>1337.43</v>
      </c>
      <c r="V401">
        <f t="shared" si="68"/>
        <v>1374.43</v>
      </c>
      <c r="W401">
        <f t="shared" si="69"/>
        <v>0.08</v>
      </c>
      <c r="X401">
        <f t="shared" si="70"/>
        <v>106.99440000000001</v>
      </c>
      <c r="Y401">
        <f t="shared" si="71"/>
        <v>1267.4356</v>
      </c>
      <c r="Z401" t="str">
        <f t="shared" si="72"/>
        <v>Deborah Bates</v>
      </c>
      <c r="AA401" s="1" t="str">
        <f t="shared" si="73"/>
        <v>In Time</v>
      </c>
      <c r="AB401" t="str">
        <f t="shared" si="74"/>
        <v>Jul</v>
      </c>
      <c r="AC401" s="9">
        <f t="shared" si="75"/>
        <v>2024</v>
      </c>
      <c r="AD401" t="str">
        <f t="shared" si="76"/>
        <v>yahoo.com</v>
      </c>
    </row>
    <row r="402" spans="1:30" x14ac:dyDescent="0.3">
      <c r="A402" t="s">
        <v>98</v>
      </c>
      <c r="B402" t="s">
        <v>187</v>
      </c>
      <c r="C402" t="s">
        <v>236</v>
      </c>
      <c r="D402">
        <v>34</v>
      </c>
      <c r="E402" t="s">
        <v>290</v>
      </c>
      <c r="F402" t="s">
        <v>293</v>
      </c>
      <c r="G402" t="s">
        <v>379</v>
      </c>
      <c r="H402" t="s">
        <v>479</v>
      </c>
      <c r="I402" t="s">
        <v>648</v>
      </c>
      <c r="J402" s="1">
        <v>45646</v>
      </c>
      <c r="K402" t="s">
        <v>1148</v>
      </c>
      <c r="L402" t="s">
        <v>1525</v>
      </c>
      <c r="M402">
        <v>481.48</v>
      </c>
      <c r="N402">
        <v>4</v>
      </c>
      <c r="O402" t="s">
        <v>1548</v>
      </c>
      <c r="P402">
        <v>4</v>
      </c>
      <c r="Q402">
        <v>38</v>
      </c>
      <c r="R402" s="1">
        <v>45647</v>
      </c>
      <c r="S402" t="s">
        <v>1700</v>
      </c>
      <c r="T402">
        <f t="shared" si="66"/>
        <v>1</v>
      </c>
      <c r="U402">
        <f t="shared" si="67"/>
        <v>1925.92</v>
      </c>
      <c r="V402">
        <f t="shared" si="68"/>
        <v>1963.92</v>
      </c>
      <c r="W402">
        <f t="shared" si="69"/>
        <v>0.15</v>
      </c>
      <c r="X402">
        <f t="shared" si="70"/>
        <v>288.88799999999998</v>
      </c>
      <c r="Y402">
        <f t="shared" si="71"/>
        <v>1675.0320000000002</v>
      </c>
      <c r="Z402" t="str">
        <f t="shared" si="72"/>
        <v>Katie Hicks</v>
      </c>
      <c r="AA402" s="1" t="str">
        <f t="shared" si="73"/>
        <v>Before Time</v>
      </c>
      <c r="AB402" t="str">
        <f t="shared" si="74"/>
        <v>Dec</v>
      </c>
      <c r="AC402" s="9">
        <f t="shared" si="75"/>
        <v>2024</v>
      </c>
      <c r="AD402" t="str">
        <f t="shared" si="76"/>
        <v>rediffmail.com</v>
      </c>
    </row>
    <row r="403" spans="1:30" x14ac:dyDescent="0.3">
      <c r="A403" t="s">
        <v>58</v>
      </c>
      <c r="B403" t="s">
        <v>140</v>
      </c>
      <c r="C403" t="s">
        <v>239</v>
      </c>
      <c r="D403">
        <v>40</v>
      </c>
      <c r="E403" t="s">
        <v>290</v>
      </c>
      <c r="F403" t="s">
        <v>297</v>
      </c>
      <c r="G403" t="s">
        <v>339</v>
      </c>
      <c r="H403" t="s">
        <v>439</v>
      </c>
      <c r="I403" t="s">
        <v>900</v>
      </c>
      <c r="J403" s="1">
        <v>45033</v>
      </c>
      <c r="K403" t="s">
        <v>1400</v>
      </c>
      <c r="L403" t="s">
        <v>1541</v>
      </c>
      <c r="M403">
        <v>133.62</v>
      </c>
      <c r="N403">
        <v>1</v>
      </c>
      <c r="O403" t="s">
        <v>1548</v>
      </c>
      <c r="P403">
        <v>5</v>
      </c>
      <c r="Q403">
        <v>66</v>
      </c>
      <c r="R403" s="1">
        <v>45037</v>
      </c>
      <c r="S403" t="s">
        <v>1949</v>
      </c>
      <c r="T403">
        <f t="shared" si="66"/>
        <v>4</v>
      </c>
      <c r="U403">
        <f t="shared" si="67"/>
        <v>133.62</v>
      </c>
      <c r="V403">
        <f t="shared" si="68"/>
        <v>199.62</v>
      </c>
      <c r="W403">
        <f t="shared" si="69"/>
        <v>0.15</v>
      </c>
      <c r="X403">
        <f t="shared" si="70"/>
        <v>20.042999999999999</v>
      </c>
      <c r="Y403">
        <f t="shared" si="71"/>
        <v>179.577</v>
      </c>
      <c r="Z403" t="str">
        <f t="shared" si="72"/>
        <v>Jason Lopez</v>
      </c>
      <c r="AA403" s="1" t="str">
        <f t="shared" si="73"/>
        <v>Before Time</v>
      </c>
      <c r="AB403" t="str">
        <f t="shared" si="74"/>
        <v>Apr</v>
      </c>
      <c r="AC403" s="9">
        <f t="shared" si="75"/>
        <v>2023</v>
      </c>
      <c r="AD403" t="str">
        <f t="shared" si="76"/>
        <v>outlook.com</v>
      </c>
    </row>
    <row r="404" spans="1:30" x14ac:dyDescent="0.3">
      <c r="A404" t="s">
        <v>101</v>
      </c>
      <c r="B404" t="s">
        <v>189</v>
      </c>
      <c r="C404" t="s">
        <v>275</v>
      </c>
      <c r="D404">
        <v>47</v>
      </c>
      <c r="E404" t="s">
        <v>289</v>
      </c>
      <c r="F404" t="s">
        <v>291</v>
      </c>
      <c r="G404" t="s">
        <v>382</v>
      </c>
      <c r="H404" t="s">
        <v>482</v>
      </c>
      <c r="I404" t="s">
        <v>672</v>
      </c>
      <c r="J404" s="1">
        <v>45327</v>
      </c>
      <c r="K404" t="s">
        <v>1172</v>
      </c>
      <c r="L404" t="s">
        <v>1534</v>
      </c>
      <c r="M404">
        <v>425.59</v>
      </c>
      <c r="N404">
        <v>3</v>
      </c>
      <c r="O404" t="s">
        <v>1549</v>
      </c>
      <c r="P404">
        <v>7</v>
      </c>
      <c r="Q404">
        <v>51</v>
      </c>
      <c r="R404" s="1">
        <v>45330</v>
      </c>
      <c r="S404" t="s">
        <v>1724</v>
      </c>
      <c r="T404">
        <f t="shared" si="66"/>
        <v>3</v>
      </c>
      <c r="U404">
        <f t="shared" si="67"/>
        <v>1276.77</v>
      </c>
      <c r="V404">
        <f t="shared" si="68"/>
        <v>1327.77</v>
      </c>
      <c r="W404">
        <f t="shared" si="69"/>
        <v>0.1</v>
      </c>
      <c r="X404">
        <f t="shared" si="70"/>
        <v>127.67700000000001</v>
      </c>
      <c r="Y404">
        <f t="shared" si="71"/>
        <v>1200.0930000000001</v>
      </c>
      <c r="Z404" t="str">
        <f t="shared" si="72"/>
        <v>Regina Hawkins</v>
      </c>
      <c r="AA404" s="1" t="str">
        <f t="shared" si="73"/>
        <v>Before Time</v>
      </c>
      <c r="AB404" t="str">
        <f t="shared" si="74"/>
        <v>Feb</v>
      </c>
      <c r="AC404" s="9">
        <f t="shared" si="75"/>
        <v>2024</v>
      </c>
      <c r="AD404" t="str">
        <f t="shared" si="76"/>
        <v>rediffmail.com</v>
      </c>
    </row>
    <row r="405" spans="1:30" x14ac:dyDescent="0.3">
      <c r="A405" t="s">
        <v>63</v>
      </c>
      <c r="B405" t="s">
        <v>144</v>
      </c>
      <c r="C405" t="s">
        <v>244</v>
      </c>
      <c r="D405">
        <v>62</v>
      </c>
      <c r="E405" t="s">
        <v>289</v>
      </c>
      <c r="F405" t="s">
        <v>292</v>
      </c>
      <c r="G405" t="s">
        <v>344</v>
      </c>
      <c r="H405" t="s">
        <v>444</v>
      </c>
      <c r="I405" t="s">
        <v>782</v>
      </c>
      <c r="J405" s="1">
        <v>45517</v>
      </c>
      <c r="K405" t="s">
        <v>1282</v>
      </c>
      <c r="L405" t="s">
        <v>1535</v>
      </c>
      <c r="M405">
        <v>477.52</v>
      </c>
      <c r="N405">
        <v>5</v>
      </c>
      <c r="O405" t="s">
        <v>1550</v>
      </c>
      <c r="P405">
        <v>2</v>
      </c>
      <c r="Q405">
        <v>60</v>
      </c>
      <c r="R405" s="1">
        <v>45520</v>
      </c>
      <c r="S405" t="s">
        <v>1833</v>
      </c>
      <c r="T405">
        <f t="shared" si="66"/>
        <v>3</v>
      </c>
      <c r="U405">
        <f t="shared" si="67"/>
        <v>2387.6</v>
      </c>
      <c r="V405">
        <f t="shared" si="68"/>
        <v>2447.6</v>
      </c>
      <c r="W405">
        <f t="shared" si="69"/>
        <v>0.2</v>
      </c>
      <c r="X405">
        <f t="shared" si="70"/>
        <v>477.52</v>
      </c>
      <c r="Y405">
        <f t="shared" si="71"/>
        <v>1970.08</v>
      </c>
      <c r="Z405" t="str">
        <f t="shared" si="72"/>
        <v>Lauren Crane</v>
      </c>
      <c r="AA405" s="1" t="str">
        <f t="shared" si="73"/>
        <v>Late</v>
      </c>
      <c r="AB405" t="str">
        <f t="shared" si="74"/>
        <v>Aug</v>
      </c>
      <c r="AC405" s="9">
        <f t="shared" si="75"/>
        <v>2024</v>
      </c>
      <c r="AD405" t="str">
        <f t="shared" si="76"/>
        <v>yahoo.com</v>
      </c>
    </row>
    <row r="406" spans="1:30" x14ac:dyDescent="0.3">
      <c r="A406" t="s">
        <v>60</v>
      </c>
      <c r="B406" t="s">
        <v>157</v>
      </c>
      <c r="C406" t="s">
        <v>241</v>
      </c>
      <c r="D406">
        <v>52</v>
      </c>
      <c r="E406" t="s">
        <v>290</v>
      </c>
      <c r="F406" t="s">
        <v>298</v>
      </c>
      <c r="G406" t="s">
        <v>341</v>
      </c>
      <c r="H406" t="s">
        <v>441</v>
      </c>
      <c r="I406" t="s">
        <v>903</v>
      </c>
      <c r="J406" s="1">
        <v>45471</v>
      </c>
      <c r="K406" t="s">
        <v>1403</v>
      </c>
      <c r="L406" t="s">
        <v>1517</v>
      </c>
      <c r="M406">
        <v>282.63</v>
      </c>
      <c r="N406">
        <v>3</v>
      </c>
      <c r="O406" t="s">
        <v>2047</v>
      </c>
      <c r="P406">
        <v>3</v>
      </c>
      <c r="Q406">
        <v>36</v>
      </c>
      <c r="R406" s="1">
        <v>45478</v>
      </c>
      <c r="S406" t="s">
        <v>1952</v>
      </c>
      <c r="T406">
        <f t="shared" si="66"/>
        <v>7</v>
      </c>
      <c r="U406">
        <f t="shared" si="67"/>
        <v>847.89</v>
      </c>
      <c r="V406">
        <f t="shared" si="68"/>
        <v>883.89</v>
      </c>
      <c r="W406">
        <f t="shared" si="69"/>
        <v>0.08</v>
      </c>
      <c r="X406">
        <f t="shared" si="70"/>
        <v>67.831199999999995</v>
      </c>
      <c r="Y406">
        <f t="shared" si="71"/>
        <v>816.05880000000002</v>
      </c>
      <c r="Z406" t="str">
        <f t="shared" si="72"/>
        <v>Amanda Howard</v>
      </c>
      <c r="AA406" s="1" t="str">
        <f t="shared" si="73"/>
        <v>Late</v>
      </c>
      <c r="AB406" t="str">
        <f t="shared" si="74"/>
        <v>Jun</v>
      </c>
      <c r="AC406" s="9">
        <f t="shared" si="75"/>
        <v>2024</v>
      </c>
      <c r="AD406" t="str">
        <f t="shared" si="76"/>
        <v>outlook.com</v>
      </c>
    </row>
    <row r="407" spans="1:30" x14ac:dyDescent="0.3">
      <c r="A407" t="s">
        <v>61</v>
      </c>
      <c r="B407" t="s">
        <v>158</v>
      </c>
      <c r="C407" t="s">
        <v>242</v>
      </c>
      <c r="D407">
        <v>28</v>
      </c>
      <c r="E407" t="s">
        <v>290</v>
      </c>
      <c r="F407" t="s">
        <v>295</v>
      </c>
      <c r="G407" t="s">
        <v>342</v>
      </c>
      <c r="H407" t="s">
        <v>442</v>
      </c>
      <c r="I407" t="s">
        <v>904</v>
      </c>
      <c r="J407" s="1">
        <v>45350</v>
      </c>
      <c r="K407" t="s">
        <v>1404</v>
      </c>
      <c r="L407" t="s">
        <v>1524</v>
      </c>
      <c r="M407">
        <v>157.63999999999999</v>
      </c>
      <c r="N407">
        <v>1</v>
      </c>
      <c r="O407" t="s">
        <v>1550</v>
      </c>
      <c r="P407">
        <v>1</v>
      </c>
      <c r="Q407">
        <v>59</v>
      </c>
      <c r="R407" s="1">
        <v>45356</v>
      </c>
      <c r="S407" t="s">
        <v>1953</v>
      </c>
      <c r="T407">
        <f t="shared" si="66"/>
        <v>6</v>
      </c>
      <c r="U407">
        <f t="shared" si="67"/>
        <v>157.63999999999999</v>
      </c>
      <c r="V407">
        <f t="shared" si="68"/>
        <v>216.64</v>
      </c>
      <c r="W407">
        <f t="shared" si="69"/>
        <v>0.2</v>
      </c>
      <c r="X407">
        <f t="shared" si="70"/>
        <v>31.527999999999999</v>
      </c>
      <c r="Y407">
        <f t="shared" si="71"/>
        <v>185.11199999999999</v>
      </c>
      <c r="Z407" t="str">
        <f t="shared" si="72"/>
        <v>Mary Knight</v>
      </c>
      <c r="AA407" s="1" t="str">
        <f t="shared" si="73"/>
        <v>Late</v>
      </c>
      <c r="AB407" t="str">
        <f t="shared" si="74"/>
        <v>Feb</v>
      </c>
      <c r="AC407" s="9">
        <f t="shared" si="75"/>
        <v>2024</v>
      </c>
      <c r="AD407" t="str">
        <f t="shared" si="76"/>
        <v>yahoo.com</v>
      </c>
    </row>
    <row r="408" spans="1:30" x14ac:dyDescent="0.3">
      <c r="A408" t="s">
        <v>98</v>
      </c>
      <c r="B408" t="s">
        <v>187</v>
      </c>
      <c r="C408" t="s">
        <v>236</v>
      </c>
      <c r="D408">
        <v>34</v>
      </c>
      <c r="E408" t="s">
        <v>290</v>
      </c>
      <c r="F408" t="s">
        <v>293</v>
      </c>
      <c r="G408" t="s">
        <v>379</v>
      </c>
      <c r="H408" t="s">
        <v>479</v>
      </c>
      <c r="I408" t="s">
        <v>658</v>
      </c>
      <c r="J408" s="1">
        <v>45449</v>
      </c>
      <c r="K408" t="s">
        <v>1158</v>
      </c>
      <c r="L408" t="s">
        <v>1505</v>
      </c>
      <c r="M408">
        <v>48.45</v>
      </c>
      <c r="N408">
        <v>1</v>
      </c>
      <c r="O408" t="s">
        <v>1549</v>
      </c>
      <c r="P408">
        <v>5</v>
      </c>
      <c r="Q408">
        <v>38</v>
      </c>
      <c r="R408" s="1">
        <v>45456</v>
      </c>
      <c r="S408" t="s">
        <v>1710</v>
      </c>
      <c r="T408">
        <f t="shared" si="66"/>
        <v>7</v>
      </c>
      <c r="U408">
        <f t="shared" si="67"/>
        <v>48.45</v>
      </c>
      <c r="V408">
        <f t="shared" si="68"/>
        <v>86.45</v>
      </c>
      <c r="W408">
        <f t="shared" si="69"/>
        <v>0.1</v>
      </c>
      <c r="X408">
        <f t="shared" si="70"/>
        <v>4.8450000000000006</v>
      </c>
      <c r="Y408">
        <f t="shared" si="71"/>
        <v>81.605000000000004</v>
      </c>
      <c r="Z408" t="str">
        <f t="shared" si="72"/>
        <v>Katie Hicks</v>
      </c>
      <c r="AA408" s="1" t="str">
        <f t="shared" si="73"/>
        <v>Late</v>
      </c>
      <c r="AB408" t="str">
        <f t="shared" si="74"/>
        <v>Jun</v>
      </c>
      <c r="AC408" s="9">
        <f t="shared" si="75"/>
        <v>2024</v>
      </c>
      <c r="AD408" t="str">
        <f t="shared" si="76"/>
        <v>rediffmail.com</v>
      </c>
    </row>
    <row r="409" spans="1:30" x14ac:dyDescent="0.3">
      <c r="A409" t="s">
        <v>25</v>
      </c>
      <c r="B409" t="s">
        <v>125</v>
      </c>
      <c r="C409" t="s">
        <v>207</v>
      </c>
      <c r="D409">
        <v>26</v>
      </c>
      <c r="E409" t="s">
        <v>289</v>
      </c>
      <c r="F409" t="s">
        <v>296</v>
      </c>
      <c r="G409" t="s">
        <v>306</v>
      </c>
      <c r="H409" t="s">
        <v>406</v>
      </c>
      <c r="I409" t="s">
        <v>906</v>
      </c>
      <c r="J409" s="1">
        <v>45359</v>
      </c>
      <c r="K409" t="s">
        <v>1406</v>
      </c>
      <c r="L409" t="s">
        <v>1545</v>
      </c>
      <c r="M409">
        <v>292.14999999999998</v>
      </c>
      <c r="N409">
        <v>1</v>
      </c>
      <c r="O409" t="s">
        <v>1550</v>
      </c>
      <c r="P409">
        <v>5</v>
      </c>
      <c r="Q409">
        <v>57</v>
      </c>
      <c r="R409" s="1">
        <v>45365</v>
      </c>
      <c r="S409" t="s">
        <v>1955</v>
      </c>
      <c r="T409">
        <f t="shared" si="66"/>
        <v>6</v>
      </c>
      <c r="U409">
        <f t="shared" si="67"/>
        <v>292.14999999999998</v>
      </c>
      <c r="V409">
        <f t="shared" si="68"/>
        <v>349.15</v>
      </c>
      <c r="W409">
        <f t="shared" si="69"/>
        <v>0.2</v>
      </c>
      <c r="X409">
        <f t="shared" si="70"/>
        <v>58.43</v>
      </c>
      <c r="Y409">
        <f t="shared" si="71"/>
        <v>290.71999999999997</v>
      </c>
      <c r="Z409" t="str">
        <f t="shared" si="72"/>
        <v>David Delacruz</v>
      </c>
      <c r="AA409" s="1" t="str">
        <f t="shared" si="73"/>
        <v>Late</v>
      </c>
      <c r="AB409" t="str">
        <f t="shared" si="74"/>
        <v>Mar</v>
      </c>
      <c r="AC409" s="9">
        <f t="shared" si="75"/>
        <v>2024</v>
      </c>
      <c r="AD409" t="str">
        <f t="shared" si="76"/>
        <v>rediffmail.com</v>
      </c>
    </row>
    <row r="410" spans="1:30" x14ac:dyDescent="0.3">
      <c r="A410" t="s">
        <v>114</v>
      </c>
      <c r="B410" t="s">
        <v>197</v>
      </c>
      <c r="C410" t="s">
        <v>239</v>
      </c>
      <c r="D410">
        <v>57</v>
      </c>
      <c r="E410" t="s">
        <v>289</v>
      </c>
      <c r="F410" t="s">
        <v>296</v>
      </c>
      <c r="G410" t="s">
        <v>395</v>
      </c>
      <c r="H410" t="s">
        <v>495</v>
      </c>
      <c r="I410" t="s">
        <v>907</v>
      </c>
      <c r="J410" s="1">
        <v>45333</v>
      </c>
      <c r="K410" t="s">
        <v>1407</v>
      </c>
      <c r="L410" t="s">
        <v>1542</v>
      </c>
      <c r="M410">
        <v>20</v>
      </c>
      <c r="N410">
        <v>4</v>
      </c>
      <c r="O410" t="s">
        <v>1550</v>
      </c>
      <c r="P410">
        <v>1</v>
      </c>
      <c r="Q410">
        <v>51</v>
      </c>
      <c r="R410" s="1">
        <v>45334</v>
      </c>
      <c r="S410" t="s">
        <v>1956</v>
      </c>
      <c r="T410">
        <f t="shared" si="66"/>
        <v>1</v>
      </c>
      <c r="U410">
        <f t="shared" si="67"/>
        <v>80</v>
      </c>
      <c r="V410">
        <f t="shared" si="68"/>
        <v>131</v>
      </c>
      <c r="W410">
        <f t="shared" si="69"/>
        <v>0.2</v>
      </c>
      <c r="X410">
        <f t="shared" si="70"/>
        <v>16</v>
      </c>
      <c r="Y410">
        <f t="shared" si="71"/>
        <v>115</v>
      </c>
      <c r="Z410" t="str">
        <f t="shared" si="72"/>
        <v>Rachel Lopez</v>
      </c>
      <c r="AA410" s="1" t="str">
        <f t="shared" si="73"/>
        <v>In Time</v>
      </c>
      <c r="AB410" t="str">
        <f t="shared" si="74"/>
        <v>Feb</v>
      </c>
      <c r="AC410" s="9">
        <f t="shared" si="75"/>
        <v>2024</v>
      </c>
      <c r="AD410" t="str">
        <f t="shared" si="76"/>
        <v>outlook.com</v>
      </c>
    </row>
    <row r="411" spans="1:30" x14ac:dyDescent="0.3">
      <c r="A411" t="s">
        <v>99</v>
      </c>
      <c r="B411" t="s">
        <v>131</v>
      </c>
      <c r="C411" t="s">
        <v>273</v>
      </c>
      <c r="D411">
        <v>29</v>
      </c>
      <c r="E411" t="s">
        <v>288</v>
      </c>
      <c r="F411" t="s">
        <v>292</v>
      </c>
      <c r="G411" t="s">
        <v>380</v>
      </c>
      <c r="H411" t="s">
        <v>480</v>
      </c>
      <c r="I411" t="s">
        <v>908</v>
      </c>
      <c r="J411" s="1">
        <v>45681</v>
      </c>
      <c r="K411" t="s">
        <v>1408</v>
      </c>
      <c r="L411" t="s">
        <v>1505</v>
      </c>
      <c r="M411">
        <v>48.45</v>
      </c>
      <c r="N411">
        <v>2</v>
      </c>
      <c r="O411" t="s">
        <v>1548</v>
      </c>
      <c r="P411">
        <v>7</v>
      </c>
      <c r="Q411">
        <v>56</v>
      </c>
      <c r="R411" s="1">
        <v>45687</v>
      </c>
      <c r="S411" t="s">
        <v>1957</v>
      </c>
      <c r="T411">
        <f t="shared" si="66"/>
        <v>6</v>
      </c>
      <c r="U411">
        <f t="shared" si="67"/>
        <v>96.9</v>
      </c>
      <c r="V411">
        <f t="shared" si="68"/>
        <v>152.9</v>
      </c>
      <c r="W411">
        <f t="shared" si="69"/>
        <v>0.15</v>
      </c>
      <c r="X411">
        <f t="shared" si="70"/>
        <v>14.535</v>
      </c>
      <c r="Y411">
        <f t="shared" si="71"/>
        <v>138.36500000000001</v>
      </c>
      <c r="Z411" t="str">
        <f t="shared" si="72"/>
        <v>Amy Griffin</v>
      </c>
      <c r="AA411" s="1" t="str">
        <f t="shared" si="73"/>
        <v>Before Time</v>
      </c>
      <c r="AB411" t="str">
        <f t="shared" si="74"/>
        <v>Jan</v>
      </c>
      <c r="AC411" s="9">
        <f t="shared" si="75"/>
        <v>2025</v>
      </c>
      <c r="AD411" t="str">
        <f t="shared" si="76"/>
        <v>rediffmail.com</v>
      </c>
    </row>
    <row r="412" spans="1:30" x14ac:dyDescent="0.3">
      <c r="A412" t="s">
        <v>81</v>
      </c>
      <c r="B412" t="s">
        <v>171</v>
      </c>
      <c r="C412" t="s">
        <v>258</v>
      </c>
      <c r="D412">
        <v>45</v>
      </c>
      <c r="E412" t="s">
        <v>290</v>
      </c>
      <c r="F412" t="s">
        <v>296</v>
      </c>
      <c r="G412" t="s">
        <v>362</v>
      </c>
      <c r="H412" t="s">
        <v>462</v>
      </c>
      <c r="I412" t="s">
        <v>909</v>
      </c>
      <c r="J412" s="1">
        <v>45190</v>
      </c>
      <c r="K412" t="s">
        <v>1409</v>
      </c>
      <c r="L412" t="s">
        <v>1516</v>
      </c>
      <c r="M412">
        <v>126.19</v>
      </c>
      <c r="N412">
        <v>2</v>
      </c>
      <c r="O412" t="s">
        <v>1550</v>
      </c>
      <c r="P412">
        <v>4</v>
      </c>
      <c r="Q412">
        <v>67</v>
      </c>
      <c r="R412" s="1">
        <v>45196</v>
      </c>
      <c r="S412" t="s">
        <v>1958</v>
      </c>
      <c r="T412">
        <f t="shared" si="66"/>
        <v>6</v>
      </c>
      <c r="U412">
        <f t="shared" si="67"/>
        <v>252.38</v>
      </c>
      <c r="V412">
        <f t="shared" si="68"/>
        <v>319.38</v>
      </c>
      <c r="W412">
        <f t="shared" si="69"/>
        <v>0.2</v>
      </c>
      <c r="X412">
        <f t="shared" si="70"/>
        <v>50.475999999999999</v>
      </c>
      <c r="Y412">
        <f t="shared" si="71"/>
        <v>268.904</v>
      </c>
      <c r="Z412" t="str">
        <f t="shared" si="72"/>
        <v>Beth Mason</v>
      </c>
      <c r="AA412" s="1" t="str">
        <f t="shared" si="73"/>
        <v>Late</v>
      </c>
      <c r="AB412" t="str">
        <f t="shared" si="74"/>
        <v>Sep</v>
      </c>
      <c r="AC412" s="9">
        <f t="shared" si="75"/>
        <v>2023</v>
      </c>
      <c r="AD412" t="str">
        <f t="shared" si="76"/>
        <v>outlook.com</v>
      </c>
    </row>
    <row r="413" spans="1:30" x14ac:dyDescent="0.3">
      <c r="A413" t="s">
        <v>72</v>
      </c>
      <c r="B413" t="s">
        <v>144</v>
      </c>
      <c r="C413" t="s">
        <v>250</v>
      </c>
      <c r="D413">
        <v>30</v>
      </c>
      <c r="E413" t="s">
        <v>288</v>
      </c>
      <c r="F413" t="s">
        <v>298</v>
      </c>
      <c r="G413" t="s">
        <v>353</v>
      </c>
      <c r="H413" t="s">
        <v>453</v>
      </c>
      <c r="I413" t="s">
        <v>845</v>
      </c>
      <c r="J413" s="1">
        <v>45393</v>
      </c>
      <c r="K413" t="s">
        <v>1345</v>
      </c>
      <c r="L413" t="s">
        <v>1516</v>
      </c>
      <c r="M413">
        <v>126.19</v>
      </c>
      <c r="N413">
        <v>4</v>
      </c>
      <c r="O413" t="s">
        <v>2047</v>
      </c>
      <c r="P413">
        <v>5</v>
      </c>
      <c r="Q413">
        <v>69</v>
      </c>
      <c r="R413" s="1">
        <v>45396</v>
      </c>
      <c r="S413" t="s">
        <v>1896</v>
      </c>
      <c r="T413">
        <f t="shared" si="66"/>
        <v>3</v>
      </c>
      <c r="U413">
        <f t="shared" si="67"/>
        <v>504.76</v>
      </c>
      <c r="V413">
        <f t="shared" si="68"/>
        <v>573.76</v>
      </c>
      <c r="W413">
        <f t="shared" si="69"/>
        <v>0.08</v>
      </c>
      <c r="X413">
        <f t="shared" si="70"/>
        <v>40.380800000000001</v>
      </c>
      <c r="Y413">
        <f t="shared" si="71"/>
        <v>533.37919999999997</v>
      </c>
      <c r="Z413" t="str">
        <f t="shared" si="72"/>
        <v>Lauren Lane</v>
      </c>
      <c r="AA413" s="1" t="str">
        <f t="shared" si="73"/>
        <v>Before Time</v>
      </c>
      <c r="AB413" t="str">
        <f t="shared" si="74"/>
        <v>Apr</v>
      </c>
      <c r="AC413" s="9">
        <f t="shared" si="75"/>
        <v>2024</v>
      </c>
      <c r="AD413" t="str">
        <f t="shared" si="76"/>
        <v>gmail.com</v>
      </c>
    </row>
    <row r="414" spans="1:30" x14ac:dyDescent="0.3">
      <c r="A414" t="s">
        <v>48</v>
      </c>
      <c r="B414" t="s">
        <v>146</v>
      </c>
      <c r="C414" t="s">
        <v>229</v>
      </c>
      <c r="D414">
        <v>48</v>
      </c>
      <c r="E414" t="s">
        <v>289</v>
      </c>
      <c r="F414" t="s">
        <v>296</v>
      </c>
      <c r="G414" t="s">
        <v>329</v>
      </c>
      <c r="H414" t="s">
        <v>429</v>
      </c>
      <c r="I414" t="s">
        <v>911</v>
      </c>
      <c r="J414" s="1">
        <v>45399</v>
      </c>
      <c r="K414" t="s">
        <v>1411</v>
      </c>
      <c r="L414" t="s">
        <v>1518</v>
      </c>
      <c r="M414">
        <v>496.59</v>
      </c>
      <c r="N414">
        <v>3</v>
      </c>
      <c r="O414" t="s">
        <v>1547</v>
      </c>
      <c r="P414">
        <v>3</v>
      </c>
      <c r="Q414">
        <v>49</v>
      </c>
      <c r="R414" s="1">
        <v>45406</v>
      </c>
      <c r="S414" t="s">
        <v>1960</v>
      </c>
      <c r="T414">
        <f t="shared" si="66"/>
        <v>7</v>
      </c>
      <c r="U414">
        <f t="shared" si="67"/>
        <v>1489.77</v>
      </c>
      <c r="V414">
        <f t="shared" si="68"/>
        <v>1489.77</v>
      </c>
      <c r="W414">
        <f t="shared" si="69"/>
        <v>0</v>
      </c>
      <c r="X414">
        <f t="shared" si="70"/>
        <v>0</v>
      </c>
      <c r="Y414">
        <f t="shared" si="71"/>
        <v>1489.77</v>
      </c>
      <c r="Z414" t="str">
        <f t="shared" si="72"/>
        <v>Heather Schneider</v>
      </c>
      <c r="AA414" s="1" t="str">
        <f t="shared" si="73"/>
        <v>Late</v>
      </c>
      <c r="AB414" t="str">
        <f t="shared" si="74"/>
        <v>Apr</v>
      </c>
      <c r="AC414" s="9">
        <f t="shared" si="75"/>
        <v>2024</v>
      </c>
      <c r="AD414" t="str">
        <f t="shared" si="76"/>
        <v>outlook.com</v>
      </c>
    </row>
    <row r="415" spans="1:30" x14ac:dyDescent="0.3">
      <c r="A415" t="s">
        <v>53</v>
      </c>
      <c r="B415" t="s">
        <v>151</v>
      </c>
      <c r="C415" t="s">
        <v>234</v>
      </c>
      <c r="D415">
        <v>70</v>
      </c>
      <c r="E415" t="s">
        <v>288</v>
      </c>
      <c r="F415" t="s">
        <v>297</v>
      </c>
      <c r="G415" t="s">
        <v>334</v>
      </c>
      <c r="H415" t="s">
        <v>434</v>
      </c>
      <c r="I415" t="s">
        <v>912</v>
      </c>
      <c r="J415" s="1">
        <v>45396</v>
      </c>
      <c r="K415" t="s">
        <v>1412</v>
      </c>
      <c r="L415" t="s">
        <v>1540</v>
      </c>
      <c r="M415">
        <v>424.82</v>
      </c>
      <c r="N415">
        <v>4</v>
      </c>
      <c r="O415" t="s">
        <v>1548</v>
      </c>
      <c r="P415">
        <v>1</v>
      </c>
      <c r="Q415">
        <v>70</v>
      </c>
      <c r="R415" s="1">
        <v>45402</v>
      </c>
      <c r="S415" t="s">
        <v>1961</v>
      </c>
      <c r="T415">
        <f t="shared" si="66"/>
        <v>6</v>
      </c>
      <c r="U415">
        <f t="shared" si="67"/>
        <v>1699.28</v>
      </c>
      <c r="V415">
        <f t="shared" si="68"/>
        <v>1769.28</v>
      </c>
      <c r="W415">
        <f t="shared" si="69"/>
        <v>0.15</v>
      </c>
      <c r="X415">
        <f t="shared" si="70"/>
        <v>254.892</v>
      </c>
      <c r="Y415">
        <f t="shared" si="71"/>
        <v>1514.3879999999999</v>
      </c>
      <c r="Z415" t="str">
        <f t="shared" si="72"/>
        <v>Donna Oneill</v>
      </c>
      <c r="AA415" s="1" t="str">
        <f t="shared" si="73"/>
        <v>Late</v>
      </c>
      <c r="AB415" t="str">
        <f t="shared" si="74"/>
        <v>Apr</v>
      </c>
      <c r="AC415" s="9">
        <f t="shared" si="75"/>
        <v>2024</v>
      </c>
      <c r="AD415" t="str">
        <f t="shared" si="76"/>
        <v>yahoo.com</v>
      </c>
    </row>
    <row r="416" spans="1:30" x14ac:dyDescent="0.3">
      <c r="A416" t="s">
        <v>34</v>
      </c>
      <c r="B416" t="s">
        <v>134</v>
      </c>
      <c r="C416" t="s">
        <v>216</v>
      </c>
      <c r="D416">
        <v>36</v>
      </c>
      <c r="E416" t="s">
        <v>290</v>
      </c>
      <c r="F416" t="s">
        <v>294</v>
      </c>
      <c r="G416" t="s">
        <v>315</v>
      </c>
      <c r="H416" t="s">
        <v>415</v>
      </c>
      <c r="I416" t="s">
        <v>913</v>
      </c>
      <c r="J416" s="1">
        <v>45194</v>
      </c>
      <c r="K416" t="s">
        <v>1413</v>
      </c>
      <c r="L416" t="s">
        <v>1542</v>
      </c>
      <c r="M416">
        <v>20</v>
      </c>
      <c r="N416">
        <v>2</v>
      </c>
      <c r="O416" t="s">
        <v>1549</v>
      </c>
      <c r="P416">
        <v>1</v>
      </c>
      <c r="Q416">
        <v>68</v>
      </c>
      <c r="R416" s="1">
        <v>45195</v>
      </c>
      <c r="S416" t="s">
        <v>1962</v>
      </c>
      <c r="T416">
        <f t="shared" si="66"/>
        <v>1</v>
      </c>
      <c r="U416">
        <f t="shared" si="67"/>
        <v>40</v>
      </c>
      <c r="V416">
        <f t="shared" si="68"/>
        <v>108</v>
      </c>
      <c r="W416">
        <f t="shared" si="69"/>
        <v>0.1</v>
      </c>
      <c r="X416">
        <f t="shared" si="70"/>
        <v>4</v>
      </c>
      <c r="Y416">
        <f t="shared" si="71"/>
        <v>104</v>
      </c>
      <c r="Z416" t="str">
        <f t="shared" si="72"/>
        <v>Gina Moreno</v>
      </c>
      <c r="AA416" s="1" t="str">
        <f t="shared" si="73"/>
        <v>In Time</v>
      </c>
      <c r="AB416" t="str">
        <f t="shared" si="74"/>
        <v>Sep</v>
      </c>
      <c r="AC416" s="9">
        <f t="shared" si="75"/>
        <v>2023</v>
      </c>
      <c r="AD416" t="str">
        <f t="shared" si="76"/>
        <v>rediffmail.com</v>
      </c>
    </row>
    <row r="417" spans="1:30" x14ac:dyDescent="0.3">
      <c r="A417" t="s">
        <v>101</v>
      </c>
      <c r="B417" t="s">
        <v>189</v>
      </c>
      <c r="C417" t="s">
        <v>275</v>
      </c>
      <c r="D417">
        <v>47</v>
      </c>
      <c r="E417" t="s">
        <v>289</v>
      </c>
      <c r="F417" t="s">
        <v>291</v>
      </c>
      <c r="G417" t="s">
        <v>382</v>
      </c>
      <c r="H417" t="s">
        <v>482</v>
      </c>
      <c r="I417" t="s">
        <v>745</v>
      </c>
      <c r="J417" s="1">
        <v>45216</v>
      </c>
      <c r="K417" t="s">
        <v>1245</v>
      </c>
      <c r="L417" t="s">
        <v>1502</v>
      </c>
      <c r="M417">
        <v>202.54</v>
      </c>
      <c r="N417">
        <v>5</v>
      </c>
      <c r="O417" t="s">
        <v>1549</v>
      </c>
      <c r="P417">
        <v>4</v>
      </c>
      <c r="Q417">
        <v>58</v>
      </c>
      <c r="R417" s="1">
        <v>45218</v>
      </c>
      <c r="S417" t="s">
        <v>1796</v>
      </c>
      <c r="T417">
        <f t="shared" si="66"/>
        <v>2</v>
      </c>
      <c r="U417">
        <f t="shared" si="67"/>
        <v>1012.6999999999999</v>
      </c>
      <c r="V417">
        <f t="shared" si="68"/>
        <v>1070.6999999999998</v>
      </c>
      <c r="W417">
        <f t="shared" si="69"/>
        <v>0.1</v>
      </c>
      <c r="X417">
        <f t="shared" si="70"/>
        <v>101.27</v>
      </c>
      <c r="Y417">
        <f t="shared" si="71"/>
        <v>969.42999999999984</v>
      </c>
      <c r="Z417" t="str">
        <f t="shared" si="72"/>
        <v>Regina Hawkins</v>
      </c>
      <c r="AA417" s="1" t="str">
        <f t="shared" si="73"/>
        <v>Before Time</v>
      </c>
      <c r="AB417" t="str">
        <f t="shared" si="74"/>
        <v>Oct</v>
      </c>
      <c r="AC417" s="9">
        <f t="shared" si="75"/>
        <v>2023</v>
      </c>
      <c r="AD417" t="str">
        <f t="shared" si="76"/>
        <v>rediffmail.com</v>
      </c>
    </row>
    <row r="418" spans="1:30" x14ac:dyDescent="0.3">
      <c r="A418" t="s">
        <v>34</v>
      </c>
      <c r="B418" t="s">
        <v>134</v>
      </c>
      <c r="C418" t="s">
        <v>216</v>
      </c>
      <c r="D418">
        <v>36</v>
      </c>
      <c r="E418" t="s">
        <v>290</v>
      </c>
      <c r="F418" t="s">
        <v>294</v>
      </c>
      <c r="G418" t="s">
        <v>315</v>
      </c>
      <c r="H418" t="s">
        <v>415</v>
      </c>
      <c r="I418" t="s">
        <v>915</v>
      </c>
      <c r="J418" s="1">
        <v>45368</v>
      </c>
      <c r="K418" t="s">
        <v>1415</v>
      </c>
      <c r="L418" t="s">
        <v>1533</v>
      </c>
      <c r="M418">
        <v>136.30000000000001</v>
      </c>
      <c r="N418">
        <v>4</v>
      </c>
      <c r="O418" t="s">
        <v>2047</v>
      </c>
      <c r="P418">
        <v>6</v>
      </c>
      <c r="Q418">
        <v>52</v>
      </c>
      <c r="R418" s="1">
        <v>45371</v>
      </c>
      <c r="S418" t="s">
        <v>1963</v>
      </c>
      <c r="T418">
        <f t="shared" si="66"/>
        <v>3</v>
      </c>
      <c r="U418">
        <f t="shared" si="67"/>
        <v>545.20000000000005</v>
      </c>
      <c r="V418">
        <f t="shared" si="68"/>
        <v>597.20000000000005</v>
      </c>
      <c r="W418">
        <f t="shared" si="69"/>
        <v>0.08</v>
      </c>
      <c r="X418">
        <f t="shared" si="70"/>
        <v>43.616000000000007</v>
      </c>
      <c r="Y418">
        <f t="shared" si="71"/>
        <v>553.58400000000006</v>
      </c>
      <c r="Z418" t="str">
        <f t="shared" si="72"/>
        <v>Gina Moreno</v>
      </c>
      <c r="AA418" s="1" t="str">
        <f t="shared" si="73"/>
        <v>Before Time</v>
      </c>
      <c r="AB418" t="str">
        <f t="shared" si="74"/>
        <v>Mar</v>
      </c>
      <c r="AC418" s="9">
        <f t="shared" si="75"/>
        <v>2024</v>
      </c>
      <c r="AD418" t="str">
        <f t="shared" si="76"/>
        <v>rediffmail.com</v>
      </c>
    </row>
    <row r="419" spans="1:30" x14ac:dyDescent="0.3">
      <c r="A419" t="s">
        <v>27</v>
      </c>
      <c r="B419" t="s">
        <v>127</v>
      </c>
      <c r="C419" t="s">
        <v>209</v>
      </c>
      <c r="D419">
        <v>48</v>
      </c>
      <c r="E419" t="s">
        <v>290</v>
      </c>
      <c r="F419" t="s">
        <v>292</v>
      </c>
      <c r="G419" t="s">
        <v>308</v>
      </c>
      <c r="H419" t="s">
        <v>408</v>
      </c>
      <c r="I419" t="s">
        <v>916</v>
      </c>
      <c r="J419" s="1">
        <v>45661</v>
      </c>
      <c r="K419" t="s">
        <v>1181</v>
      </c>
      <c r="L419" t="s">
        <v>1524</v>
      </c>
      <c r="M419">
        <v>157.63999999999999</v>
      </c>
      <c r="N419">
        <v>4</v>
      </c>
      <c r="O419" t="s">
        <v>1547</v>
      </c>
      <c r="P419">
        <v>7</v>
      </c>
      <c r="Q419">
        <v>42</v>
      </c>
      <c r="R419" s="1">
        <v>45663</v>
      </c>
      <c r="S419" t="s">
        <v>1964</v>
      </c>
      <c r="T419">
        <f t="shared" si="66"/>
        <v>2</v>
      </c>
      <c r="U419">
        <f t="shared" si="67"/>
        <v>630.55999999999995</v>
      </c>
      <c r="V419">
        <f t="shared" si="68"/>
        <v>630.55999999999995</v>
      </c>
      <c r="W419">
        <f t="shared" si="69"/>
        <v>0</v>
      </c>
      <c r="X419">
        <f t="shared" si="70"/>
        <v>0</v>
      </c>
      <c r="Y419">
        <f t="shared" si="71"/>
        <v>630.55999999999995</v>
      </c>
      <c r="Z419" t="str">
        <f t="shared" si="72"/>
        <v>Debra Rodriguez</v>
      </c>
      <c r="AA419" s="1" t="str">
        <f t="shared" si="73"/>
        <v>Before Time</v>
      </c>
      <c r="AB419" t="str">
        <f t="shared" si="74"/>
        <v>Jan</v>
      </c>
      <c r="AC419" s="9">
        <f t="shared" si="75"/>
        <v>2025</v>
      </c>
      <c r="AD419" t="str">
        <f t="shared" si="76"/>
        <v>rediffmail.com</v>
      </c>
    </row>
    <row r="420" spans="1:30" x14ac:dyDescent="0.3">
      <c r="A420" t="s">
        <v>70</v>
      </c>
      <c r="B420" t="s">
        <v>164</v>
      </c>
      <c r="C420" t="s">
        <v>248</v>
      </c>
      <c r="D420">
        <v>64</v>
      </c>
      <c r="E420" t="s">
        <v>288</v>
      </c>
      <c r="F420" t="s">
        <v>291</v>
      </c>
      <c r="G420" t="s">
        <v>351</v>
      </c>
      <c r="H420" t="s">
        <v>451</v>
      </c>
      <c r="I420" t="s">
        <v>917</v>
      </c>
      <c r="J420" s="1">
        <v>45147</v>
      </c>
      <c r="K420" t="s">
        <v>1416</v>
      </c>
      <c r="L420" t="s">
        <v>1544</v>
      </c>
      <c r="M420">
        <v>107.47</v>
      </c>
      <c r="N420">
        <v>5</v>
      </c>
      <c r="O420" t="s">
        <v>1550</v>
      </c>
      <c r="P420">
        <v>6</v>
      </c>
      <c r="Q420">
        <v>47</v>
      </c>
      <c r="R420" s="1">
        <v>45149</v>
      </c>
      <c r="S420" t="s">
        <v>1965</v>
      </c>
      <c r="T420">
        <f t="shared" si="66"/>
        <v>2</v>
      </c>
      <c r="U420">
        <f t="shared" si="67"/>
        <v>537.35</v>
      </c>
      <c r="V420">
        <f t="shared" si="68"/>
        <v>584.35</v>
      </c>
      <c r="W420">
        <f t="shared" si="69"/>
        <v>0.2</v>
      </c>
      <c r="X420">
        <f t="shared" si="70"/>
        <v>107.47000000000001</v>
      </c>
      <c r="Y420">
        <f t="shared" si="71"/>
        <v>476.88</v>
      </c>
      <c r="Z420" t="str">
        <f t="shared" si="72"/>
        <v>Sarah Butler</v>
      </c>
      <c r="AA420" s="1" t="str">
        <f t="shared" si="73"/>
        <v>Before Time</v>
      </c>
      <c r="AB420" t="str">
        <f t="shared" si="74"/>
        <v>Aug</v>
      </c>
      <c r="AC420" s="9">
        <f t="shared" si="75"/>
        <v>2023</v>
      </c>
      <c r="AD420" t="str">
        <f t="shared" si="76"/>
        <v>rediffmail.com</v>
      </c>
    </row>
    <row r="421" spans="1:30" x14ac:dyDescent="0.3">
      <c r="A421" t="s">
        <v>55</v>
      </c>
      <c r="B421" t="s">
        <v>153</v>
      </c>
      <c r="C421" t="s">
        <v>236</v>
      </c>
      <c r="D421">
        <v>31</v>
      </c>
      <c r="E421" t="s">
        <v>290</v>
      </c>
      <c r="F421" t="s">
        <v>294</v>
      </c>
      <c r="G421" t="s">
        <v>336</v>
      </c>
      <c r="H421" t="s">
        <v>436</v>
      </c>
      <c r="I421" t="s">
        <v>918</v>
      </c>
      <c r="J421" s="1">
        <v>45653</v>
      </c>
      <c r="K421" t="s">
        <v>1417</v>
      </c>
      <c r="L421" t="s">
        <v>1529</v>
      </c>
      <c r="M421">
        <v>128.13999999999999</v>
      </c>
      <c r="N421">
        <v>1</v>
      </c>
      <c r="O421" t="s">
        <v>1547</v>
      </c>
      <c r="P421">
        <v>3</v>
      </c>
      <c r="Q421">
        <v>55</v>
      </c>
      <c r="R421" s="1">
        <v>45655</v>
      </c>
      <c r="S421" t="s">
        <v>1966</v>
      </c>
      <c r="T421">
        <f t="shared" si="66"/>
        <v>2</v>
      </c>
      <c r="U421">
        <f t="shared" si="67"/>
        <v>128.13999999999999</v>
      </c>
      <c r="V421">
        <f t="shared" si="68"/>
        <v>128.13999999999999</v>
      </c>
      <c r="W421">
        <f t="shared" si="69"/>
        <v>0</v>
      </c>
      <c r="X421">
        <f t="shared" si="70"/>
        <v>0</v>
      </c>
      <c r="Y421">
        <f t="shared" si="71"/>
        <v>128.13999999999999</v>
      </c>
      <c r="Z421" t="str">
        <f t="shared" si="72"/>
        <v>Timothy Hicks</v>
      </c>
      <c r="AA421" s="1" t="str">
        <f t="shared" si="73"/>
        <v>Before Time</v>
      </c>
      <c r="AB421" t="str">
        <f t="shared" si="74"/>
        <v>Dec</v>
      </c>
      <c r="AC421" s="9">
        <f t="shared" si="75"/>
        <v>2024</v>
      </c>
      <c r="AD421" t="str">
        <f t="shared" si="76"/>
        <v>gmail.com</v>
      </c>
    </row>
    <row r="422" spans="1:30" x14ac:dyDescent="0.3">
      <c r="A422" t="s">
        <v>74</v>
      </c>
      <c r="B422" t="s">
        <v>167</v>
      </c>
      <c r="C422" t="s">
        <v>252</v>
      </c>
      <c r="D422">
        <v>33</v>
      </c>
      <c r="E422" t="s">
        <v>290</v>
      </c>
      <c r="F422" t="s">
        <v>297</v>
      </c>
      <c r="G422" t="s">
        <v>355</v>
      </c>
      <c r="H422" t="s">
        <v>455</v>
      </c>
      <c r="I422" t="s">
        <v>919</v>
      </c>
      <c r="J422" s="1">
        <v>45351</v>
      </c>
      <c r="K422" t="s">
        <v>1418</v>
      </c>
      <c r="L422" t="s">
        <v>1534</v>
      </c>
      <c r="M422">
        <v>425.59</v>
      </c>
      <c r="N422">
        <v>2</v>
      </c>
      <c r="O422" t="s">
        <v>1549</v>
      </c>
      <c r="P422">
        <v>4</v>
      </c>
      <c r="Q422">
        <v>64</v>
      </c>
      <c r="R422" s="1">
        <v>45358</v>
      </c>
      <c r="S422" t="s">
        <v>1967</v>
      </c>
      <c r="T422">
        <f t="shared" si="66"/>
        <v>7</v>
      </c>
      <c r="U422">
        <f t="shared" si="67"/>
        <v>851.18</v>
      </c>
      <c r="V422">
        <f t="shared" si="68"/>
        <v>915.18</v>
      </c>
      <c r="W422">
        <f t="shared" si="69"/>
        <v>0.1</v>
      </c>
      <c r="X422">
        <f t="shared" si="70"/>
        <v>85.117999999999995</v>
      </c>
      <c r="Y422">
        <f t="shared" si="71"/>
        <v>830.0619999999999</v>
      </c>
      <c r="Z422" t="str">
        <f t="shared" si="72"/>
        <v>Jodi Whitney</v>
      </c>
      <c r="AA422" s="1" t="str">
        <f t="shared" si="73"/>
        <v>Late</v>
      </c>
      <c r="AB422" t="str">
        <f t="shared" si="74"/>
        <v>Feb</v>
      </c>
      <c r="AC422" s="9">
        <f t="shared" si="75"/>
        <v>2024</v>
      </c>
      <c r="AD422" t="str">
        <f t="shared" si="76"/>
        <v>yahoo.com</v>
      </c>
    </row>
    <row r="423" spans="1:30" x14ac:dyDescent="0.3">
      <c r="A423" t="s">
        <v>59</v>
      </c>
      <c r="B423" t="s">
        <v>156</v>
      </c>
      <c r="C423" t="s">
        <v>240</v>
      </c>
      <c r="D423">
        <v>70</v>
      </c>
      <c r="E423" t="s">
        <v>288</v>
      </c>
      <c r="F423" t="s">
        <v>291</v>
      </c>
      <c r="G423" t="s">
        <v>340</v>
      </c>
      <c r="H423" t="s">
        <v>440</v>
      </c>
      <c r="I423" t="s">
        <v>920</v>
      </c>
      <c r="J423" s="1">
        <v>45622</v>
      </c>
      <c r="K423" t="s">
        <v>1419</v>
      </c>
      <c r="L423" t="s">
        <v>1546</v>
      </c>
      <c r="M423">
        <v>33.49</v>
      </c>
      <c r="N423">
        <v>5</v>
      </c>
      <c r="O423" t="s">
        <v>1550</v>
      </c>
      <c r="P423">
        <v>5</v>
      </c>
      <c r="Q423">
        <v>64</v>
      </c>
      <c r="R423" s="1">
        <v>45628</v>
      </c>
      <c r="S423" t="s">
        <v>1968</v>
      </c>
      <c r="T423">
        <f t="shared" si="66"/>
        <v>6</v>
      </c>
      <c r="U423">
        <f t="shared" si="67"/>
        <v>167.45000000000002</v>
      </c>
      <c r="V423">
        <f t="shared" si="68"/>
        <v>231.45000000000002</v>
      </c>
      <c r="W423">
        <f t="shared" si="69"/>
        <v>0.2</v>
      </c>
      <c r="X423">
        <f t="shared" si="70"/>
        <v>33.49</v>
      </c>
      <c r="Y423">
        <f t="shared" si="71"/>
        <v>197.96</v>
      </c>
      <c r="Z423" t="str">
        <f t="shared" si="72"/>
        <v>Alexandra Smith</v>
      </c>
      <c r="AA423" s="1" t="str">
        <f t="shared" si="73"/>
        <v>Late</v>
      </c>
      <c r="AB423" t="str">
        <f t="shared" si="74"/>
        <v>Nov</v>
      </c>
      <c r="AC423" s="9">
        <f t="shared" si="75"/>
        <v>2024</v>
      </c>
      <c r="AD423" t="str">
        <f t="shared" si="76"/>
        <v>rediffmail.com</v>
      </c>
    </row>
    <row r="424" spans="1:30" x14ac:dyDescent="0.3">
      <c r="A424" t="s">
        <v>41</v>
      </c>
      <c r="B424" t="s">
        <v>122</v>
      </c>
      <c r="C424" t="s">
        <v>222</v>
      </c>
      <c r="D424">
        <v>52</v>
      </c>
      <c r="E424" t="s">
        <v>290</v>
      </c>
      <c r="F424" t="s">
        <v>292</v>
      </c>
      <c r="G424" t="s">
        <v>322</v>
      </c>
      <c r="H424" t="s">
        <v>422</v>
      </c>
      <c r="I424" t="s">
        <v>921</v>
      </c>
      <c r="J424" s="1">
        <v>45269</v>
      </c>
      <c r="K424" t="s">
        <v>1420</v>
      </c>
      <c r="L424" t="s">
        <v>1539</v>
      </c>
      <c r="M424">
        <v>235.63</v>
      </c>
      <c r="N424">
        <v>1</v>
      </c>
      <c r="O424" t="s">
        <v>1547</v>
      </c>
      <c r="P424">
        <v>6</v>
      </c>
      <c r="Q424">
        <v>35</v>
      </c>
      <c r="R424" s="1">
        <v>45272</v>
      </c>
      <c r="S424" t="s">
        <v>1969</v>
      </c>
      <c r="T424">
        <f t="shared" si="66"/>
        <v>3</v>
      </c>
      <c r="U424">
        <f t="shared" si="67"/>
        <v>235.63</v>
      </c>
      <c r="V424">
        <f t="shared" si="68"/>
        <v>235.63</v>
      </c>
      <c r="W424">
        <f t="shared" si="69"/>
        <v>0</v>
      </c>
      <c r="X424">
        <f t="shared" si="70"/>
        <v>0</v>
      </c>
      <c r="Y424">
        <f t="shared" si="71"/>
        <v>235.63</v>
      </c>
      <c r="Z424" t="str">
        <f t="shared" si="72"/>
        <v>Angela Evans</v>
      </c>
      <c r="AA424" s="1" t="str">
        <f t="shared" si="73"/>
        <v>Before Time</v>
      </c>
      <c r="AB424" t="str">
        <f t="shared" si="74"/>
        <v>Dec</v>
      </c>
      <c r="AC424" s="9">
        <f t="shared" si="75"/>
        <v>2023</v>
      </c>
      <c r="AD424" t="str">
        <f t="shared" si="76"/>
        <v>outlook.com</v>
      </c>
    </row>
    <row r="425" spans="1:30" x14ac:dyDescent="0.3">
      <c r="A425" t="s">
        <v>72</v>
      </c>
      <c r="B425" t="s">
        <v>144</v>
      </c>
      <c r="C425" t="s">
        <v>250</v>
      </c>
      <c r="D425">
        <v>30</v>
      </c>
      <c r="E425" t="s">
        <v>288</v>
      </c>
      <c r="F425" t="s">
        <v>298</v>
      </c>
      <c r="G425" t="s">
        <v>353</v>
      </c>
      <c r="H425" t="s">
        <v>453</v>
      </c>
      <c r="I425" t="s">
        <v>889</v>
      </c>
      <c r="J425" s="1">
        <v>45695</v>
      </c>
      <c r="K425" t="s">
        <v>1389</v>
      </c>
      <c r="L425" t="s">
        <v>1542</v>
      </c>
      <c r="M425">
        <v>20</v>
      </c>
      <c r="N425">
        <v>3</v>
      </c>
      <c r="O425" t="s">
        <v>1549</v>
      </c>
      <c r="P425">
        <v>7</v>
      </c>
      <c r="Q425">
        <v>65</v>
      </c>
      <c r="R425" s="1">
        <v>45701</v>
      </c>
      <c r="S425" t="s">
        <v>1938</v>
      </c>
      <c r="T425">
        <f t="shared" si="66"/>
        <v>6</v>
      </c>
      <c r="U425">
        <f t="shared" si="67"/>
        <v>60</v>
      </c>
      <c r="V425">
        <f t="shared" si="68"/>
        <v>125</v>
      </c>
      <c r="W425">
        <f t="shared" si="69"/>
        <v>0.1</v>
      </c>
      <c r="X425">
        <f t="shared" si="70"/>
        <v>6</v>
      </c>
      <c r="Y425">
        <f t="shared" si="71"/>
        <v>119</v>
      </c>
      <c r="Z425" t="str">
        <f t="shared" si="72"/>
        <v>Lauren Lane</v>
      </c>
      <c r="AA425" s="1" t="str">
        <f t="shared" si="73"/>
        <v>Before Time</v>
      </c>
      <c r="AB425" t="str">
        <f t="shared" si="74"/>
        <v>Feb</v>
      </c>
      <c r="AC425" s="9">
        <f t="shared" si="75"/>
        <v>2025</v>
      </c>
      <c r="AD425" t="str">
        <f t="shared" si="76"/>
        <v>gmail.com</v>
      </c>
    </row>
    <row r="426" spans="1:30" x14ac:dyDescent="0.3">
      <c r="A426" t="s">
        <v>89</v>
      </c>
      <c r="B426" t="s">
        <v>179</v>
      </c>
      <c r="C426" t="s">
        <v>265</v>
      </c>
      <c r="D426">
        <v>30</v>
      </c>
      <c r="E426" t="s">
        <v>288</v>
      </c>
      <c r="F426" t="s">
        <v>293</v>
      </c>
      <c r="G426" t="s">
        <v>370</v>
      </c>
      <c r="H426" t="s">
        <v>470</v>
      </c>
      <c r="I426" t="s">
        <v>923</v>
      </c>
      <c r="J426" s="1">
        <v>45587</v>
      </c>
      <c r="K426" t="s">
        <v>1422</v>
      </c>
      <c r="L426" t="s">
        <v>1546</v>
      </c>
      <c r="M426">
        <v>33.49</v>
      </c>
      <c r="N426">
        <v>5</v>
      </c>
      <c r="O426" t="s">
        <v>1550</v>
      </c>
      <c r="P426">
        <v>2</v>
      </c>
      <c r="Q426">
        <v>58</v>
      </c>
      <c r="R426" s="1">
        <v>45589</v>
      </c>
      <c r="S426" t="s">
        <v>1971</v>
      </c>
      <c r="T426">
        <f t="shared" si="66"/>
        <v>2</v>
      </c>
      <c r="U426">
        <f t="shared" si="67"/>
        <v>167.45000000000002</v>
      </c>
      <c r="V426">
        <f t="shared" si="68"/>
        <v>225.45000000000002</v>
      </c>
      <c r="W426">
        <f t="shared" si="69"/>
        <v>0.2</v>
      </c>
      <c r="X426">
        <f t="shared" si="70"/>
        <v>33.49</v>
      </c>
      <c r="Y426">
        <f t="shared" si="71"/>
        <v>191.96</v>
      </c>
      <c r="Z426" t="str">
        <f t="shared" si="72"/>
        <v>Melissa Levy</v>
      </c>
      <c r="AA426" s="1" t="str">
        <f t="shared" si="73"/>
        <v>In Time</v>
      </c>
      <c r="AB426" t="str">
        <f t="shared" si="74"/>
        <v>Oct</v>
      </c>
      <c r="AC426" s="9">
        <f t="shared" si="75"/>
        <v>2024</v>
      </c>
      <c r="AD426" t="str">
        <f t="shared" si="76"/>
        <v>rediffmail.com</v>
      </c>
    </row>
    <row r="427" spans="1:30" x14ac:dyDescent="0.3">
      <c r="A427" t="s">
        <v>81</v>
      </c>
      <c r="B427" t="s">
        <v>171</v>
      </c>
      <c r="C427" t="s">
        <v>258</v>
      </c>
      <c r="D427">
        <v>45</v>
      </c>
      <c r="E427" t="s">
        <v>290</v>
      </c>
      <c r="F427" t="s">
        <v>296</v>
      </c>
      <c r="G427" t="s">
        <v>362</v>
      </c>
      <c r="H427" t="s">
        <v>462</v>
      </c>
      <c r="I427" t="s">
        <v>924</v>
      </c>
      <c r="J427" s="1">
        <v>44987</v>
      </c>
      <c r="K427" t="s">
        <v>1423</v>
      </c>
      <c r="L427" t="s">
        <v>1533</v>
      </c>
      <c r="M427">
        <v>136.30000000000001</v>
      </c>
      <c r="N427">
        <v>1</v>
      </c>
      <c r="O427" t="s">
        <v>2047</v>
      </c>
      <c r="P427">
        <v>4</v>
      </c>
      <c r="Q427">
        <v>41</v>
      </c>
      <c r="R427" s="1">
        <v>44988</v>
      </c>
      <c r="S427" t="s">
        <v>1972</v>
      </c>
      <c r="T427">
        <f t="shared" si="66"/>
        <v>1</v>
      </c>
      <c r="U427">
        <f t="shared" si="67"/>
        <v>136.30000000000001</v>
      </c>
      <c r="V427">
        <f t="shared" si="68"/>
        <v>177.3</v>
      </c>
      <c r="W427">
        <f t="shared" si="69"/>
        <v>0.08</v>
      </c>
      <c r="X427">
        <f t="shared" si="70"/>
        <v>10.904000000000002</v>
      </c>
      <c r="Y427">
        <f t="shared" si="71"/>
        <v>166.39600000000002</v>
      </c>
      <c r="Z427" t="str">
        <f t="shared" si="72"/>
        <v>Beth Mason</v>
      </c>
      <c r="AA427" s="1" t="str">
        <f t="shared" si="73"/>
        <v>Before Time</v>
      </c>
      <c r="AB427" t="str">
        <f t="shared" si="74"/>
        <v>Mar</v>
      </c>
      <c r="AC427" s="9">
        <f t="shared" si="75"/>
        <v>2023</v>
      </c>
      <c r="AD427" t="str">
        <f t="shared" si="76"/>
        <v>outlook.com</v>
      </c>
    </row>
    <row r="428" spans="1:30" x14ac:dyDescent="0.3">
      <c r="A428" t="s">
        <v>115</v>
      </c>
      <c r="B428" t="s">
        <v>198</v>
      </c>
      <c r="C428" t="s">
        <v>217</v>
      </c>
      <c r="D428">
        <v>29</v>
      </c>
      <c r="E428" t="s">
        <v>290</v>
      </c>
      <c r="F428" t="s">
        <v>296</v>
      </c>
      <c r="G428" t="s">
        <v>396</v>
      </c>
      <c r="H428" t="s">
        <v>496</v>
      </c>
      <c r="I428" t="s">
        <v>925</v>
      </c>
      <c r="J428" s="1">
        <v>45537</v>
      </c>
      <c r="K428" t="s">
        <v>1424</v>
      </c>
      <c r="L428" t="s">
        <v>1520</v>
      </c>
      <c r="M428">
        <v>62.42</v>
      </c>
      <c r="N428">
        <v>1</v>
      </c>
      <c r="O428" t="s">
        <v>2047</v>
      </c>
      <c r="P428">
        <v>3</v>
      </c>
      <c r="Q428">
        <v>48</v>
      </c>
      <c r="R428" s="1">
        <v>45542</v>
      </c>
      <c r="S428" t="s">
        <v>1973</v>
      </c>
      <c r="T428">
        <f t="shared" si="66"/>
        <v>5</v>
      </c>
      <c r="U428">
        <f t="shared" si="67"/>
        <v>62.42</v>
      </c>
      <c r="V428">
        <f t="shared" si="68"/>
        <v>110.42</v>
      </c>
      <c r="W428">
        <f t="shared" si="69"/>
        <v>0.08</v>
      </c>
      <c r="X428">
        <f t="shared" si="70"/>
        <v>4.9935999999999998</v>
      </c>
      <c r="Y428">
        <f t="shared" si="71"/>
        <v>105.4264</v>
      </c>
      <c r="Z428" t="str">
        <f t="shared" si="72"/>
        <v>Scott Jones</v>
      </c>
      <c r="AA428" s="1" t="str">
        <f t="shared" si="73"/>
        <v>Late</v>
      </c>
      <c r="AB428" t="str">
        <f t="shared" si="74"/>
        <v>Sep</v>
      </c>
      <c r="AC428" s="9">
        <f t="shared" si="75"/>
        <v>2024</v>
      </c>
      <c r="AD428" t="str">
        <f t="shared" si="76"/>
        <v>yahoo.com</v>
      </c>
    </row>
    <row r="429" spans="1:30" x14ac:dyDescent="0.3">
      <c r="A429" t="s">
        <v>71</v>
      </c>
      <c r="B429" t="s">
        <v>165</v>
      </c>
      <c r="C429" t="s">
        <v>249</v>
      </c>
      <c r="D429">
        <v>42</v>
      </c>
      <c r="E429" t="s">
        <v>290</v>
      </c>
      <c r="F429" t="s">
        <v>295</v>
      </c>
      <c r="G429" t="s">
        <v>352</v>
      </c>
      <c r="H429" t="s">
        <v>452</v>
      </c>
      <c r="I429" t="s">
        <v>926</v>
      </c>
      <c r="J429" s="1">
        <v>45646</v>
      </c>
      <c r="K429" t="s">
        <v>1425</v>
      </c>
      <c r="L429" t="s">
        <v>1534</v>
      </c>
      <c r="M429">
        <v>425.59</v>
      </c>
      <c r="N429">
        <v>5</v>
      </c>
      <c r="O429" t="s">
        <v>1547</v>
      </c>
      <c r="P429">
        <v>5</v>
      </c>
      <c r="Q429">
        <v>47</v>
      </c>
      <c r="R429" s="1">
        <v>45652</v>
      </c>
      <c r="S429" t="s">
        <v>1974</v>
      </c>
      <c r="T429">
        <f t="shared" si="66"/>
        <v>6</v>
      </c>
      <c r="U429">
        <f t="shared" si="67"/>
        <v>2127.9499999999998</v>
      </c>
      <c r="V429">
        <f t="shared" si="68"/>
        <v>2127.9499999999998</v>
      </c>
      <c r="W429">
        <f t="shared" si="69"/>
        <v>0</v>
      </c>
      <c r="X429">
        <f t="shared" si="70"/>
        <v>0</v>
      </c>
      <c r="Y429">
        <f t="shared" si="71"/>
        <v>2127.9499999999998</v>
      </c>
      <c r="Z429" t="str">
        <f t="shared" si="72"/>
        <v>Katherine Weber</v>
      </c>
      <c r="AA429" s="1" t="str">
        <f t="shared" si="73"/>
        <v>Late</v>
      </c>
      <c r="AB429" t="str">
        <f t="shared" si="74"/>
        <v>Dec</v>
      </c>
      <c r="AC429" s="9">
        <f t="shared" si="75"/>
        <v>2024</v>
      </c>
      <c r="AD429" t="str">
        <f t="shared" si="76"/>
        <v>outlook.com</v>
      </c>
    </row>
    <row r="430" spans="1:30" x14ac:dyDescent="0.3">
      <c r="A430" t="s">
        <v>36</v>
      </c>
      <c r="B430" t="s">
        <v>136</v>
      </c>
      <c r="C430" t="s">
        <v>217</v>
      </c>
      <c r="D430">
        <v>34</v>
      </c>
      <c r="E430" t="s">
        <v>288</v>
      </c>
      <c r="F430" t="s">
        <v>296</v>
      </c>
      <c r="G430" t="s">
        <v>317</v>
      </c>
      <c r="H430" t="s">
        <v>417</v>
      </c>
      <c r="I430" t="s">
        <v>927</v>
      </c>
      <c r="J430" s="1">
        <v>45504</v>
      </c>
      <c r="K430" t="s">
        <v>1426</v>
      </c>
      <c r="L430" t="s">
        <v>1544</v>
      </c>
      <c r="M430">
        <v>107.47</v>
      </c>
      <c r="N430">
        <v>5</v>
      </c>
      <c r="O430" t="s">
        <v>1549</v>
      </c>
      <c r="P430">
        <v>5</v>
      </c>
      <c r="Q430">
        <v>48</v>
      </c>
      <c r="R430" s="1">
        <v>45505</v>
      </c>
      <c r="S430" t="s">
        <v>1975</v>
      </c>
      <c r="T430">
        <f t="shared" si="66"/>
        <v>1</v>
      </c>
      <c r="U430">
        <f t="shared" si="67"/>
        <v>537.35</v>
      </c>
      <c r="V430">
        <f t="shared" si="68"/>
        <v>585.35</v>
      </c>
      <c r="W430">
        <f t="shared" si="69"/>
        <v>0.1</v>
      </c>
      <c r="X430">
        <f t="shared" si="70"/>
        <v>53.735000000000007</v>
      </c>
      <c r="Y430">
        <f t="shared" si="71"/>
        <v>531.61500000000001</v>
      </c>
      <c r="Z430" t="str">
        <f t="shared" si="72"/>
        <v>Traci Jones</v>
      </c>
      <c r="AA430" s="1" t="str">
        <f t="shared" si="73"/>
        <v>Before Time</v>
      </c>
      <c r="AB430" t="str">
        <f t="shared" si="74"/>
        <v>Jul</v>
      </c>
      <c r="AC430" s="9">
        <f t="shared" si="75"/>
        <v>2024</v>
      </c>
      <c r="AD430" t="str">
        <f t="shared" si="76"/>
        <v>yahoo.com</v>
      </c>
    </row>
    <row r="431" spans="1:30" x14ac:dyDescent="0.3">
      <c r="A431" t="s">
        <v>30</v>
      </c>
      <c r="B431" t="s">
        <v>130</v>
      </c>
      <c r="C431" t="s">
        <v>212</v>
      </c>
      <c r="D431">
        <v>25</v>
      </c>
      <c r="E431" t="s">
        <v>290</v>
      </c>
      <c r="F431" t="s">
        <v>294</v>
      </c>
      <c r="G431" t="s">
        <v>311</v>
      </c>
      <c r="H431" t="s">
        <v>411</v>
      </c>
      <c r="I431" t="s">
        <v>928</v>
      </c>
      <c r="J431" s="1">
        <v>45271</v>
      </c>
      <c r="K431" t="s">
        <v>1427</v>
      </c>
      <c r="L431" t="s">
        <v>1524</v>
      </c>
      <c r="M431">
        <v>157.63999999999999</v>
      </c>
      <c r="N431">
        <v>2</v>
      </c>
      <c r="O431" t="s">
        <v>1547</v>
      </c>
      <c r="P431">
        <v>5</v>
      </c>
      <c r="Q431">
        <v>57</v>
      </c>
      <c r="R431" s="1">
        <v>45277</v>
      </c>
      <c r="S431" t="s">
        <v>1976</v>
      </c>
      <c r="T431">
        <f t="shared" si="66"/>
        <v>6</v>
      </c>
      <c r="U431">
        <f t="shared" si="67"/>
        <v>315.27999999999997</v>
      </c>
      <c r="V431">
        <f t="shared" si="68"/>
        <v>315.27999999999997</v>
      </c>
      <c r="W431">
        <f t="shared" si="69"/>
        <v>0</v>
      </c>
      <c r="X431">
        <f t="shared" si="70"/>
        <v>0</v>
      </c>
      <c r="Y431">
        <f t="shared" si="71"/>
        <v>315.27999999999997</v>
      </c>
      <c r="Z431" t="str">
        <f t="shared" si="72"/>
        <v>Kara Brennan</v>
      </c>
      <c r="AA431" s="1" t="str">
        <f t="shared" si="73"/>
        <v>Late</v>
      </c>
      <c r="AB431" t="str">
        <f t="shared" si="74"/>
        <v>Dec</v>
      </c>
      <c r="AC431" s="9">
        <f t="shared" si="75"/>
        <v>2023</v>
      </c>
      <c r="AD431" t="str">
        <f t="shared" si="76"/>
        <v>outlook.com</v>
      </c>
    </row>
    <row r="432" spans="1:30" x14ac:dyDescent="0.3">
      <c r="A432" t="s">
        <v>55</v>
      </c>
      <c r="B432" t="s">
        <v>153</v>
      </c>
      <c r="C432" t="s">
        <v>236</v>
      </c>
      <c r="D432">
        <v>31</v>
      </c>
      <c r="E432" t="s">
        <v>290</v>
      </c>
      <c r="F432" t="s">
        <v>294</v>
      </c>
      <c r="G432" t="s">
        <v>336</v>
      </c>
      <c r="H432" t="s">
        <v>436</v>
      </c>
      <c r="I432" t="s">
        <v>929</v>
      </c>
      <c r="J432" s="1">
        <v>45398</v>
      </c>
      <c r="K432" t="s">
        <v>1428</v>
      </c>
      <c r="L432" t="s">
        <v>1534</v>
      </c>
      <c r="M432">
        <v>425.59</v>
      </c>
      <c r="N432">
        <v>2</v>
      </c>
      <c r="O432" t="s">
        <v>1548</v>
      </c>
      <c r="P432">
        <v>1</v>
      </c>
      <c r="Q432">
        <v>44</v>
      </c>
      <c r="R432" s="1">
        <v>45403</v>
      </c>
      <c r="S432" t="s">
        <v>1977</v>
      </c>
      <c r="T432">
        <f t="shared" si="66"/>
        <v>5</v>
      </c>
      <c r="U432">
        <f t="shared" si="67"/>
        <v>851.18</v>
      </c>
      <c r="V432">
        <f t="shared" si="68"/>
        <v>895.18</v>
      </c>
      <c r="W432">
        <f t="shared" si="69"/>
        <v>0.15</v>
      </c>
      <c r="X432">
        <f t="shared" si="70"/>
        <v>127.67699999999999</v>
      </c>
      <c r="Y432">
        <f t="shared" si="71"/>
        <v>767.50299999999993</v>
      </c>
      <c r="Z432" t="str">
        <f t="shared" si="72"/>
        <v>Timothy Hicks</v>
      </c>
      <c r="AA432" s="1" t="str">
        <f t="shared" si="73"/>
        <v>Late</v>
      </c>
      <c r="AB432" t="str">
        <f t="shared" si="74"/>
        <v>Apr</v>
      </c>
      <c r="AC432" s="9">
        <f t="shared" si="75"/>
        <v>2024</v>
      </c>
      <c r="AD432" t="str">
        <f t="shared" si="76"/>
        <v>gmail.com</v>
      </c>
    </row>
    <row r="433" spans="1:30" x14ac:dyDescent="0.3">
      <c r="A433" t="s">
        <v>91</v>
      </c>
      <c r="B433" t="s">
        <v>180</v>
      </c>
      <c r="C433" t="s">
        <v>267</v>
      </c>
      <c r="D433">
        <v>43</v>
      </c>
      <c r="E433" t="s">
        <v>290</v>
      </c>
      <c r="F433" t="s">
        <v>293</v>
      </c>
      <c r="G433" t="s">
        <v>372</v>
      </c>
      <c r="H433" t="s">
        <v>472</v>
      </c>
      <c r="I433" t="s">
        <v>930</v>
      </c>
      <c r="J433" s="1">
        <v>45432</v>
      </c>
      <c r="K433" t="s">
        <v>1429</v>
      </c>
      <c r="L433" t="s">
        <v>1514</v>
      </c>
      <c r="M433">
        <v>461.07</v>
      </c>
      <c r="N433">
        <v>1</v>
      </c>
      <c r="O433" t="s">
        <v>2047</v>
      </c>
      <c r="P433">
        <v>1</v>
      </c>
      <c r="Q433">
        <v>42</v>
      </c>
      <c r="R433" s="1">
        <v>45433</v>
      </c>
      <c r="S433" t="s">
        <v>1978</v>
      </c>
      <c r="T433">
        <f t="shared" si="66"/>
        <v>1</v>
      </c>
      <c r="U433">
        <f t="shared" si="67"/>
        <v>461.07</v>
      </c>
      <c r="V433">
        <f t="shared" si="68"/>
        <v>503.07</v>
      </c>
      <c r="W433">
        <f t="shared" si="69"/>
        <v>0.08</v>
      </c>
      <c r="X433">
        <f t="shared" si="70"/>
        <v>36.885600000000004</v>
      </c>
      <c r="Y433">
        <f t="shared" si="71"/>
        <v>466.18439999999998</v>
      </c>
      <c r="Z433" t="str">
        <f t="shared" si="72"/>
        <v>Barbara Fuller</v>
      </c>
      <c r="AA433" s="1" t="str">
        <f t="shared" si="73"/>
        <v>In Time</v>
      </c>
      <c r="AB433" t="str">
        <f t="shared" si="74"/>
        <v>May</v>
      </c>
      <c r="AC433" s="9">
        <f t="shared" si="75"/>
        <v>2024</v>
      </c>
      <c r="AD433" t="str">
        <f t="shared" si="76"/>
        <v>rediffmail.com</v>
      </c>
    </row>
    <row r="434" spans="1:30" x14ac:dyDescent="0.3">
      <c r="A434" t="s">
        <v>25</v>
      </c>
      <c r="B434" t="s">
        <v>125</v>
      </c>
      <c r="C434" t="s">
        <v>207</v>
      </c>
      <c r="D434">
        <v>26</v>
      </c>
      <c r="E434" t="s">
        <v>289</v>
      </c>
      <c r="F434" t="s">
        <v>296</v>
      </c>
      <c r="G434" t="s">
        <v>306</v>
      </c>
      <c r="H434" t="s">
        <v>406</v>
      </c>
      <c r="I434" t="s">
        <v>931</v>
      </c>
      <c r="J434" s="1">
        <v>45449</v>
      </c>
      <c r="K434" t="s">
        <v>1430</v>
      </c>
      <c r="L434" t="s">
        <v>1539</v>
      </c>
      <c r="M434">
        <v>235.63</v>
      </c>
      <c r="N434">
        <v>1</v>
      </c>
      <c r="O434" t="s">
        <v>1548</v>
      </c>
      <c r="P434">
        <v>3</v>
      </c>
      <c r="Q434">
        <v>55</v>
      </c>
      <c r="R434" s="1">
        <v>45455</v>
      </c>
      <c r="S434" t="s">
        <v>1979</v>
      </c>
      <c r="T434">
        <f t="shared" si="66"/>
        <v>6</v>
      </c>
      <c r="U434">
        <f t="shared" si="67"/>
        <v>235.63</v>
      </c>
      <c r="V434">
        <f t="shared" si="68"/>
        <v>290.63</v>
      </c>
      <c r="W434">
        <f t="shared" si="69"/>
        <v>0.15</v>
      </c>
      <c r="X434">
        <f t="shared" si="70"/>
        <v>35.344499999999996</v>
      </c>
      <c r="Y434">
        <f t="shared" si="71"/>
        <v>255.28550000000001</v>
      </c>
      <c r="Z434" t="str">
        <f t="shared" si="72"/>
        <v>David Delacruz</v>
      </c>
      <c r="AA434" s="1" t="str">
        <f t="shared" si="73"/>
        <v>Late</v>
      </c>
      <c r="AB434" t="str">
        <f t="shared" si="74"/>
        <v>Jun</v>
      </c>
      <c r="AC434" s="9">
        <f t="shared" si="75"/>
        <v>2024</v>
      </c>
      <c r="AD434" t="str">
        <f t="shared" si="76"/>
        <v>rediffmail.com</v>
      </c>
    </row>
    <row r="435" spans="1:30" x14ac:dyDescent="0.3">
      <c r="A435" t="s">
        <v>78</v>
      </c>
      <c r="B435" t="s">
        <v>170</v>
      </c>
      <c r="C435" t="s">
        <v>240</v>
      </c>
      <c r="D435">
        <v>18</v>
      </c>
      <c r="E435" t="s">
        <v>289</v>
      </c>
      <c r="F435" t="s">
        <v>292</v>
      </c>
      <c r="G435" t="s">
        <v>359</v>
      </c>
      <c r="H435" t="s">
        <v>459</v>
      </c>
      <c r="I435" t="s">
        <v>932</v>
      </c>
      <c r="J435" s="1">
        <v>45178</v>
      </c>
      <c r="K435" t="s">
        <v>1431</v>
      </c>
      <c r="L435" t="s">
        <v>1541</v>
      </c>
      <c r="M435">
        <v>133.62</v>
      </c>
      <c r="N435">
        <v>2</v>
      </c>
      <c r="O435" t="s">
        <v>2047</v>
      </c>
      <c r="P435">
        <v>2</v>
      </c>
      <c r="Q435">
        <v>48</v>
      </c>
      <c r="R435" s="1">
        <v>45184</v>
      </c>
      <c r="S435" t="s">
        <v>1980</v>
      </c>
      <c r="T435">
        <f t="shared" si="66"/>
        <v>6</v>
      </c>
      <c r="U435">
        <f t="shared" si="67"/>
        <v>267.24</v>
      </c>
      <c r="V435">
        <f t="shared" si="68"/>
        <v>315.24</v>
      </c>
      <c r="W435">
        <f t="shared" si="69"/>
        <v>0.08</v>
      </c>
      <c r="X435">
        <f t="shared" si="70"/>
        <v>21.379200000000001</v>
      </c>
      <c r="Y435">
        <f t="shared" si="71"/>
        <v>293.86079999999998</v>
      </c>
      <c r="Z435" t="str">
        <f t="shared" si="72"/>
        <v>Kelli Smith</v>
      </c>
      <c r="AA435" s="1" t="str">
        <f t="shared" si="73"/>
        <v>Late</v>
      </c>
      <c r="AB435" t="str">
        <f t="shared" si="74"/>
        <v>Sep</v>
      </c>
      <c r="AC435" s="9">
        <f t="shared" si="75"/>
        <v>2023</v>
      </c>
      <c r="AD435" t="str">
        <f t="shared" si="76"/>
        <v>rediffmail.com</v>
      </c>
    </row>
    <row r="436" spans="1:30" x14ac:dyDescent="0.3">
      <c r="A436" t="s">
        <v>20</v>
      </c>
      <c r="B436" t="s">
        <v>120</v>
      </c>
      <c r="C436" t="s">
        <v>202</v>
      </c>
      <c r="D436">
        <v>55</v>
      </c>
      <c r="E436" t="s">
        <v>289</v>
      </c>
      <c r="F436" t="s">
        <v>293</v>
      </c>
      <c r="G436" t="s">
        <v>301</v>
      </c>
      <c r="H436" t="s">
        <v>401</v>
      </c>
      <c r="I436" t="s">
        <v>864</v>
      </c>
      <c r="J436" s="1">
        <v>45005</v>
      </c>
      <c r="K436" t="s">
        <v>1364</v>
      </c>
      <c r="L436" t="s">
        <v>1512</v>
      </c>
      <c r="M436">
        <v>104.18</v>
      </c>
      <c r="N436">
        <v>1</v>
      </c>
      <c r="O436" t="s">
        <v>2047</v>
      </c>
      <c r="P436">
        <v>5</v>
      </c>
      <c r="Q436">
        <v>37</v>
      </c>
      <c r="R436" s="1">
        <v>45007</v>
      </c>
      <c r="S436" t="s">
        <v>1915</v>
      </c>
      <c r="T436">
        <f t="shared" si="66"/>
        <v>2</v>
      </c>
      <c r="U436">
        <f t="shared" si="67"/>
        <v>104.18</v>
      </c>
      <c r="V436">
        <f t="shared" si="68"/>
        <v>141.18</v>
      </c>
      <c r="W436">
        <f t="shared" si="69"/>
        <v>0.08</v>
      </c>
      <c r="X436">
        <f t="shared" si="70"/>
        <v>8.3344000000000005</v>
      </c>
      <c r="Y436">
        <f t="shared" si="71"/>
        <v>132.84560000000002</v>
      </c>
      <c r="Z436" t="str">
        <f t="shared" si="72"/>
        <v>Hannah Gutierrez</v>
      </c>
      <c r="AA436" s="1" t="str">
        <f t="shared" si="73"/>
        <v>Before Time</v>
      </c>
      <c r="AB436" t="str">
        <f t="shared" si="74"/>
        <v>Mar</v>
      </c>
      <c r="AC436" s="9">
        <f t="shared" si="75"/>
        <v>2023</v>
      </c>
      <c r="AD436" t="str">
        <f t="shared" si="76"/>
        <v>yahoo.com</v>
      </c>
    </row>
    <row r="437" spans="1:30" x14ac:dyDescent="0.3">
      <c r="A437" t="s">
        <v>83</v>
      </c>
      <c r="B437" t="s">
        <v>173</v>
      </c>
      <c r="C437" t="s">
        <v>260</v>
      </c>
      <c r="D437">
        <v>68</v>
      </c>
      <c r="E437" t="s">
        <v>288</v>
      </c>
      <c r="F437" t="s">
        <v>298</v>
      </c>
      <c r="G437" t="s">
        <v>364</v>
      </c>
      <c r="H437" t="s">
        <v>464</v>
      </c>
      <c r="I437" t="s">
        <v>934</v>
      </c>
      <c r="J437" s="1">
        <v>45536</v>
      </c>
      <c r="K437" t="s">
        <v>1433</v>
      </c>
      <c r="L437" t="s">
        <v>1503</v>
      </c>
      <c r="M437">
        <v>363.64</v>
      </c>
      <c r="N437">
        <v>4</v>
      </c>
      <c r="O437" t="s">
        <v>1550</v>
      </c>
      <c r="P437">
        <v>2</v>
      </c>
      <c r="Q437">
        <v>42</v>
      </c>
      <c r="R437" s="1">
        <v>45540</v>
      </c>
      <c r="S437" t="s">
        <v>1982</v>
      </c>
      <c r="T437">
        <f t="shared" si="66"/>
        <v>4</v>
      </c>
      <c r="U437">
        <f t="shared" si="67"/>
        <v>1454.56</v>
      </c>
      <c r="V437">
        <f t="shared" si="68"/>
        <v>1496.56</v>
      </c>
      <c r="W437">
        <f t="shared" si="69"/>
        <v>0.2</v>
      </c>
      <c r="X437">
        <f t="shared" si="70"/>
        <v>290.91199999999998</v>
      </c>
      <c r="Y437">
        <f t="shared" si="71"/>
        <v>1205.6479999999999</v>
      </c>
      <c r="Z437" t="str">
        <f t="shared" si="72"/>
        <v>Troy Gomez</v>
      </c>
      <c r="AA437" s="1" t="str">
        <f t="shared" si="73"/>
        <v>Late</v>
      </c>
      <c r="AB437" t="str">
        <f t="shared" si="74"/>
        <v>Sep</v>
      </c>
      <c r="AC437" s="9">
        <f t="shared" si="75"/>
        <v>2024</v>
      </c>
      <c r="AD437" t="str">
        <f t="shared" si="76"/>
        <v>outlook.com</v>
      </c>
    </row>
    <row r="438" spans="1:30" x14ac:dyDescent="0.3">
      <c r="A438" t="s">
        <v>48</v>
      </c>
      <c r="B438" t="s">
        <v>146</v>
      </c>
      <c r="C438" t="s">
        <v>229</v>
      </c>
      <c r="D438">
        <v>48</v>
      </c>
      <c r="E438" t="s">
        <v>289</v>
      </c>
      <c r="F438" t="s">
        <v>296</v>
      </c>
      <c r="G438" t="s">
        <v>329</v>
      </c>
      <c r="H438" t="s">
        <v>429</v>
      </c>
      <c r="I438" t="s">
        <v>935</v>
      </c>
      <c r="J438" s="1">
        <v>45310</v>
      </c>
      <c r="K438" t="s">
        <v>1434</v>
      </c>
      <c r="L438" t="s">
        <v>1510</v>
      </c>
      <c r="M438">
        <v>220.27</v>
      </c>
      <c r="N438">
        <v>2</v>
      </c>
      <c r="O438" t="s">
        <v>1548</v>
      </c>
      <c r="P438">
        <v>7</v>
      </c>
      <c r="Q438">
        <v>42</v>
      </c>
      <c r="R438" s="1">
        <v>45317</v>
      </c>
      <c r="S438" t="s">
        <v>1983</v>
      </c>
      <c r="T438">
        <f t="shared" si="66"/>
        <v>7</v>
      </c>
      <c r="U438">
        <f t="shared" si="67"/>
        <v>440.54</v>
      </c>
      <c r="V438">
        <f t="shared" si="68"/>
        <v>482.54</v>
      </c>
      <c r="W438">
        <f t="shared" si="69"/>
        <v>0.15</v>
      </c>
      <c r="X438">
        <f t="shared" si="70"/>
        <v>66.081000000000003</v>
      </c>
      <c r="Y438">
        <f t="shared" si="71"/>
        <v>416.459</v>
      </c>
      <c r="Z438" t="str">
        <f t="shared" si="72"/>
        <v>Heather Schneider</v>
      </c>
      <c r="AA438" s="1" t="str">
        <f t="shared" si="73"/>
        <v>In Time</v>
      </c>
      <c r="AB438" t="str">
        <f t="shared" si="74"/>
        <v>Jan</v>
      </c>
      <c r="AC438" s="9">
        <f t="shared" si="75"/>
        <v>2024</v>
      </c>
      <c r="AD438" t="str">
        <f t="shared" si="76"/>
        <v>outlook.com</v>
      </c>
    </row>
    <row r="439" spans="1:30" x14ac:dyDescent="0.3">
      <c r="A439" t="s">
        <v>84</v>
      </c>
      <c r="B439" t="s">
        <v>174</v>
      </c>
      <c r="C439" t="s">
        <v>261</v>
      </c>
      <c r="D439">
        <v>65</v>
      </c>
      <c r="E439" t="s">
        <v>289</v>
      </c>
      <c r="F439" t="s">
        <v>296</v>
      </c>
      <c r="G439" t="s">
        <v>365</v>
      </c>
      <c r="H439" t="s">
        <v>465</v>
      </c>
      <c r="I439" t="s">
        <v>936</v>
      </c>
      <c r="J439" s="1">
        <v>45167</v>
      </c>
      <c r="K439" t="s">
        <v>1435</v>
      </c>
      <c r="L439" t="s">
        <v>1546</v>
      </c>
      <c r="M439">
        <v>33.49</v>
      </c>
      <c r="N439">
        <v>3</v>
      </c>
      <c r="O439" t="s">
        <v>1549</v>
      </c>
      <c r="P439">
        <v>1</v>
      </c>
      <c r="Q439">
        <v>50</v>
      </c>
      <c r="R439" s="1">
        <v>45172</v>
      </c>
      <c r="S439" t="s">
        <v>1984</v>
      </c>
      <c r="T439">
        <f t="shared" si="66"/>
        <v>5</v>
      </c>
      <c r="U439">
        <f t="shared" si="67"/>
        <v>100.47</v>
      </c>
      <c r="V439">
        <f t="shared" si="68"/>
        <v>150.47</v>
      </c>
      <c r="W439">
        <f t="shared" si="69"/>
        <v>0.1</v>
      </c>
      <c r="X439">
        <f t="shared" si="70"/>
        <v>10.047000000000001</v>
      </c>
      <c r="Y439">
        <f t="shared" si="71"/>
        <v>140.423</v>
      </c>
      <c r="Z439" t="str">
        <f t="shared" si="72"/>
        <v>Kim Blevins</v>
      </c>
      <c r="AA439" s="1" t="str">
        <f t="shared" si="73"/>
        <v>Late</v>
      </c>
      <c r="AB439" t="str">
        <f t="shared" si="74"/>
        <v>Aug</v>
      </c>
      <c r="AC439" s="9">
        <f t="shared" si="75"/>
        <v>2023</v>
      </c>
      <c r="AD439" t="str">
        <f t="shared" si="76"/>
        <v>outlook.com</v>
      </c>
    </row>
    <row r="440" spans="1:30" x14ac:dyDescent="0.3">
      <c r="A440" t="s">
        <v>53</v>
      </c>
      <c r="B440" t="s">
        <v>151</v>
      </c>
      <c r="C440" t="s">
        <v>234</v>
      </c>
      <c r="D440">
        <v>70</v>
      </c>
      <c r="E440" t="s">
        <v>288</v>
      </c>
      <c r="F440" t="s">
        <v>297</v>
      </c>
      <c r="G440" t="s">
        <v>334</v>
      </c>
      <c r="H440" t="s">
        <v>434</v>
      </c>
      <c r="I440" t="s">
        <v>937</v>
      </c>
      <c r="J440" s="1">
        <v>45145</v>
      </c>
      <c r="K440" t="s">
        <v>1436</v>
      </c>
      <c r="L440" t="s">
        <v>1524</v>
      </c>
      <c r="M440">
        <v>157.63999999999999</v>
      </c>
      <c r="N440">
        <v>2</v>
      </c>
      <c r="O440" t="s">
        <v>1549</v>
      </c>
      <c r="P440">
        <v>6</v>
      </c>
      <c r="Q440">
        <v>65</v>
      </c>
      <c r="R440" s="1">
        <v>45148</v>
      </c>
      <c r="S440" t="s">
        <v>1985</v>
      </c>
      <c r="T440">
        <f t="shared" si="66"/>
        <v>3</v>
      </c>
      <c r="U440">
        <f t="shared" si="67"/>
        <v>315.27999999999997</v>
      </c>
      <c r="V440">
        <f t="shared" si="68"/>
        <v>380.28</v>
      </c>
      <c r="W440">
        <f t="shared" si="69"/>
        <v>0.1</v>
      </c>
      <c r="X440">
        <f t="shared" si="70"/>
        <v>31.527999999999999</v>
      </c>
      <c r="Y440">
        <f t="shared" si="71"/>
        <v>348.75199999999995</v>
      </c>
      <c r="Z440" t="str">
        <f t="shared" si="72"/>
        <v>Donna Oneill</v>
      </c>
      <c r="AA440" s="1" t="str">
        <f t="shared" si="73"/>
        <v>Before Time</v>
      </c>
      <c r="AB440" t="str">
        <f t="shared" si="74"/>
        <v>Aug</v>
      </c>
      <c r="AC440" s="9">
        <f t="shared" si="75"/>
        <v>2023</v>
      </c>
      <c r="AD440" t="str">
        <f t="shared" si="76"/>
        <v>yahoo.com</v>
      </c>
    </row>
    <row r="441" spans="1:30" x14ac:dyDescent="0.3">
      <c r="A441" t="s">
        <v>33</v>
      </c>
      <c r="B441" t="s">
        <v>133</v>
      </c>
      <c r="C441" t="s">
        <v>215</v>
      </c>
      <c r="D441">
        <v>46</v>
      </c>
      <c r="E441" t="s">
        <v>288</v>
      </c>
      <c r="F441" t="s">
        <v>297</v>
      </c>
      <c r="G441" t="s">
        <v>314</v>
      </c>
      <c r="H441" t="s">
        <v>414</v>
      </c>
      <c r="I441" t="s">
        <v>938</v>
      </c>
      <c r="J441" s="1">
        <v>45010</v>
      </c>
      <c r="K441" t="s">
        <v>1437</v>
      </c>
      <c r="L441" t="s">
        <v>1499</v>
      </c>
      <c r="M441">
        <v>441.03</v>
      </c>
      <c r="N441">
        <v>5</v>
      </c>
      <c r="O441" t="s">
        <v>1550</v>
      </c>
      <c r="P441">
        <v>7</v>
      </c>
      <c r="Q441">
        <v>36</v>
      </c>
      <c r="R441" s="1">
        <v>45016</v>
      </c>
      <c r="S441" t="s">
        <v>1986</v>
      </c>
      <c r="T441">
        <f t="shared" si="66"/>
        <v>6</v>
      </c>
      <c r="U441">
        <f t="shared" si="67"/>
        <v>2205.1499999999996</v>
      </c>
      <c r="V441">
        <f t="shared" si="68"/>
        <v>2241.1499999999996</v>
      </c>
      <c r="W441">
        <f t="shared" si="69"/>
        <v>0.2</v>
      </c>
      <c r="X441">
        <f t="shared" si="70"/>
        <v>441.03</v>
      </c>
      <c r="Y441">
        <f t="shared" si="71"/>
        <v>1800.1199999999997</v>
      </c>
      <c r="Z441" t="str">
        <f t="shared" si="72"/>
        <v>Erin Miller</v>
      </c>
      <c r="AA441" s="1" t="str">
        <f t="shared" si="73"/>
        <v>Before Time</v>
      </c>
      <c r="AB441" t="str">
        <f t="shared" si="74"/>
        <v>Mar</v>
      </c>
      <c r="AC441" s="9">
        <f t="shared" si="75"/>
        <v>2023</v>
      </c>
      <c r="AD441" t="str">
        <f t="shared" si="76"/>
        <v>gmail.com</v>
      </c>
    </row>
    <row r="442" spans="1:30" x14ac:dyDescent="0.3">
      <c r="A442" t="s">
        <v>74</v>
      </c>
      <c r="B442" t="s">
        <v>167</v>
      </c>
      <c r="C442" t="s">
        <v>252</v>
      </c>
      <c r="D442">
        <v>33</v>
      </c>
      <c r="E442" t="s">
        <v>290</v>
      </c>
      <c r="F442" t="s">
        <v>297</v>
      </c>
      <c r="G442" t="s">
        <v>355</v>
      </c>
      <c r="H442" t="s">
        <v>455</v>
      </c>
      <c r="I442" t="s">
        <v>939</v>
      </c>
      <c r="J442" s="1">
        <v>45628</v>
      </c>
      <c r="K442" t="s">
        <v>1438</v>
      </c>
      <c r="L442" t="s">
        <v>1530</v>
      </c>
      <c r="M442">
        <v>369.03</v>
      </c>
      <c r="N442">
        <v>4</v>
      </c>
      <c r="O442" t="s">
        <v>2047</v>
      </c>
      <c r="P442">
        <v>5</v>
      </c>
      <c r="Q442">
        <v>48</v>
      </c>
      <c r="R442" s="1">
        <v>45629</v>
      </c>
      <c r="S442" t="s">
        <v>1987</v>
      </c>
      <c r="T442">
        <f t="shared" si="66"/>
        <v>1</v>
      </c>
      <c r="U442">
        <f t="shared" si="67"/>
        <v>1476.12</v>
      </c>
      <c r="V442">
        <f t="shared" si="68"/>
        <v>1524.12</v>
      </c>
      <c r="W442">
        <f t="shared" si="69"/>
        <v>0.08</v>
      </c>
      <c r="X442">
        <f t="shared" si="70"/>
        <v>118.08959999999999</v>
      </c>
      <c r="Y442">
        <f t="shared" si="71"/>
        <v>1406.0303999999999</v>
      </c>
      <c r="Z442" t="str">
        <f t="shared" si="72"/>
        <v>Jodi Whitney</v>
      </c>
      <c r="AA442" s="1" t="str">
        <f t="shared" si="73"/>
        <v>Before Time</v>
      </c>
      <c r="AB442" t="str">
        <f t="shared" si="74"/>
        <v>Dec</v>
      </c>
      <c r="AC442" s="9">
        <f t="shared" si="75"/>
        <v>2024</v>
      </c>
      <c r="AD442" t="str">
        <f t="shared" si="76"/>
        <v>yahoo.com</v>
      </c>
    </row>
    <row r="443" spans="1:30" x14ac:dyDescent="0.3">
      <c r="A443" t="s">
        <v>57</v>
      </c>
      <c r="B443" t="s">
        <v>155</v>
      </c>
      <c r="C443" t="s">
        <v>238</v>
      </c>
      <c r="D443">
        <v>47</v>
      </c>
      <c r="E443" t="s">
        <v>289</v>
      </c>
      <c r="F443" t="s">
        <v>296</v>
      </c>
      <c r="G443" t="s">
        <v>338</v>
      </c>
      <c r="H443" t="s">
        <v>438</v>
      </c>
      <c r="I443" t="s">
        <v>940</v>
      </c>
      <c r="J443" s="1">
        <v>45529</v>
      </c>
      <c r="K443" t="s">
        <v>1439</v>
      </c>
      <c r="L443" t="s">
        <v>1523</v>
      </c>
      <c r="M443">
        <v>129.75</v>
      </c>
      <c r="N443">
        <v>2</v>
      </c>
      <c r="O443" t="s">
        <v>1550</v>
      </c>
      <c r="P443">
        <v>5</v>
      </c>
      <c r="Q443">
        <v>47</v>
      </c>
      <c r="R443" s="1">
        <v>45532</v>
      </c>
      <c r="S443" t="s">
        <v>1988</v>
      </c>
      <c r="T443">
        <f t="shared" si="66"/>
        <v>3</v>
      </c>
      <c r="U443">
        <f t="shared" si="67"/>
        <v>259.5</v>
      </c>
      <c r="V443">
        <f t="shared" si="68"/>
        <v>306.5</v>
      </c>
      <c r="W443">
        <f t="shared" si="69"/>
        <v>0.2</v>
      </c>
      <c r="X443">
        <f t="shared" si="70"/>
        <v>51.900000000000006</v>
      </c>
      <c r="Y443">
        <f t="shared" si="71"/>
        <v>254.6</v>
      </c>
      <c r="Z443" t="str">
        <f t="shared" si="72"/>
        <v>Aaron Thompson</v>
      </c>
      <c r="AA443" s="1" t="str">
        <f t="shared" si="73"/>
        <v>Before Time</v>
      </c>
      <c r="AB443" t="str">
        <f t="shared" si="74"/>
        <v>Aug</v>
      </c>
      <c r="AC443" s="9">
        <f t="shared" si="75"/>
        <v>2024</v>
      </c>
      <c r="AD443" t="str">
        <f t="shared" si="76"/>
        <v>gmail.com</v>
      </c>
    </row>
    <row r="444" spans="1:30" x14ac:dyDescent="0.3">
      <c r="A444" t="s">
        <v>107</v>
      </c>
      <c r="B444" t="s">
        <v>122</v>
      </c>
      <c r="C444" t="s">
        <v>281</v>
      </c>
      <c r="D444">
        <v>40</v>
      </c>
      <c r="E444" t="s">
        <v>288</v>
      </c>
      <c r="F444" t="s">
        <v>295</v>
      </c>
      <c r="G444" t="s">
        <v>388</v>
      </c>
      <c r="H444" t="s">
        <v>488</v>
      </c>
      <c r="I444" t="s">
        <v>941</v>
      </c>
      <c r="J444" s="1">
        <v>45175</v>
      </c>
      <c r="K444" t="s">
        <v>1440</v>
      </c>
      <c r="L444" t="s">
        <v>1513</v>
      </c>
      <c r="M444">
        <v>20.7</v>
      </c>
      <c r="N444">
        <v>2</v>
      </c>
      <c r="O444" t="s">
        <v>2047</v>
      </c>
      <c r="P444">
        <v>5</v>
      </c>
      <c r="Q444">
        <v>61</v>
      </c>
      <c r="R444" s="1">
        <v>45177</v>
      </c>
      <c r="S444" t="s">
        <v>1989</v>
      </c>
      <c r="T444">
        <f t="shared" si="66"/>
        <v>2</v>
      </c>
      <c r="U444">
        <f t="shared" si="67"/>
        <v>41.4</v>
      </c>
      <c r="V444">
        <f t="shared" si="68"/>
        <v>102.4</v>
      </c>
      <c r="W444">
        <f t="shared" si="69"/>
        <v>0.08</v>
      </c>
      <c r="X444">
        <f t="shared" si="70"/>
        <v>3.3119999999999998</v>
      </c>
      <c r="Y444">
        <f t="shared" si="71"/>
        <v>99.088000000000008</v>
      </c>
      <c r="Z444" t="str">
        <f t="shared" si="72"/>
        <v>Angela Casey</v>
      </c>
      <c r="AA444" s="1" t="str">
        <f t="shared" si="73"/>
        <v>Before Time</v>
      </c>
      <c r="AB444" t="str">
        <f t="shared" si="74"/>
        <v>Sep</v>
      </c>
      <c r="AC444" s="9">
        <f t="shared" si="75"/>
        <v>2023</v>
      </c>
      <c r="AD444" t="str">
        <f t="shared" si="76"/>
        <v>gmail.com</v>
      </c>
    </row>
    <row r="445" spans="1:30" x14ac:dyDescent="0.3">
      <c r="A445" t="s">
        <v>88</v>
      </c>
      <c r="B445" t="s">
        <v>178</v>
      </c>
      <c r="C445" t="s">
        <v>215</v>
      </c>
      <c r="D445">
        <v>70</v>
      </c>
      <c r="E445" t="s">
        <v>289</v>
      </c>
      <c r="F445" t="s">
        <v>296</v>
      </c>
      <c r="G445" t="s">
        <v>369</v>
      </c>
      <c r="H445" t="s">
        <v>469</v>
      </c>
      <c r="I445" t="s">
        <v>942</v>
      </c>
      <c r="J445" s="1">
        <v>45379</v>
      </c>
      <c r="K445" t="s">
        <v>1441</v>
      </c>
      <c r="L445" t="s">
        <v>1506</v>
      </c>
      <c r="M445">
        <v>372.62</v>
      </c>
      <c r="N445">
        <v>2</v>
      </c>
      <c r="O445" t="s">
        <v>1549</v>
      </c>
      <c r="P445">
        <v>4</v>
      </c>
      <c r="Q445">
        <v>57</v>
      </c>
      <c r="R445" s="1">
        <v>45382</v>
      </c>
      <c r="S445" t="s">
        <v>1990</v>
      </c>
      <c r="T445">
        <f t="shared" si="66"/>
        <v>3</v>
      </c>
      <c r="U445">
        <f t="shared" si="67"/>
        <v>745.24</v>
      </c>
      <c r="V445">
        <f t="shared" si="68"/>
        <v>802.24</v>
      </c>
      <c r="W445">
        <f t="shared" si="69"/>
        <v>0.1</v>
      </c>
      <c r="X445">
        <f t="shared" si="70"/>
        <v>74.524000000000001</v>
      </c>
      <c r="Y445">
        <f t="shared" si="71"/>
        <v>727.71600000000001</v>
      </c>
      <c r="Z445" t="str">
        <f t="shared" si="72"/>
        <v>Lisa Miller</v>
      </c>
      <c r="AA445" s="1" t="str">
        <f t="shared" si="73"/>
        <v>Before Time</v>
      </c>
      <c r="AB445" t="str">
        <f t="shared" si="74"/>
        <v>Mar</v>
      </c>
      <c r="AC445" s="9">
        <f t="shared" si="75"/>
        <v>2024</v>
      </c>
      <c r="AD445" t="str">
        <f t="shared" si="76"/>
        <v>gmail.com</v>
      </c>
    </row>
    <row r="446" spans="1:30" x14ac:dyDescent="0.3">
      <c r="A446" t="s">
        <v>116</v>
      </c>
      <c r="B446" t="s">
        <v>191</v>
      </c>
      <c r="C446" t="s">
        <v>286</v>
      </c>
      <c r="D446">
        <v>64</v>
      </c>
      <c r="E446" t="s">
        <v>289</v>
      </c>
      <c r="F446" t="s">
        <v>295</v>
      </c>
      <c r="G446" t="s">
        <v>397</v>
      </c>
      <c r="H446" t="s">
        <v>497</v>
      </c>
      <c r="I446" t="s">
        <v>943</v>
      </c>
      <c r="J446" s="1">
        <v>45633</v>
      </c>
      <c r="K446" t="s">
        <v>1442</v>
      </c>
      <c r="L446" t="s">
        <v>1544</v>
      </c>
      <c r="M446">
        <v>107.47</v>
      </c>
      <c r="N446">
        <v>4</v>
      </c>
      <c r="O446" t="s">
        <v>1550</v>
      </c>
      <c r="P446">
        <v>5</v>
      </c>
      <c r="Q446">
        <v>42</v>
      </c>
      <c r="R446" s="1">
        <v>45637</v>
      </c>
      <c r="S446" t="s">
        <v>1991</v>
      </c>
      <c r="T446">
        <f t="shared" si="66"/>
        <v>4</v>
      </c>
      <c r="U446">
        <f t="shared" si="67"/>
        <v>429.88</v>
      </c>
      <c r="V446">
        <f t="shared" si="68"/>
        <v>471.88</v>
      </c>
      <c r="W446">
        <f t="shared" si="69"/>
        <v>0.2</v>
      </c>
      <c r="X446">
        <f t="shared" si="70"/>
        <v>85.975999999999999</v>
      </c>
      <c r="Y446">
        <f t="shared" si="71"/>
        <v>385.904</v>
      </c>
      <c r="Z446" t="str">
        <f t="shared" si="72"/>
        <v>Gary Jacobs</v>
      </c>
      <c r="AA446" s="1" t="str">
        <f t="shared" si="73"/>
        <v>Before Time</v>
      </c>
      <c r="AB446" t="str">
        <f t="shared" si="74"/>
        <v>Dec</v>
      </c>
      <c r="AC446" s="9">
        <f t="shared" si="75"/>
        <v>2024</v>
      </c>
      <c r="AD446" t="str">
        <f t="shared" si="76"/>
        <v>gmail.com</v>
      </c>
    </row>
    <row r="447" spans="1:30" x14ac:dyDescent="0.3">
      <c r="A447" t="s">
        <v>116</v>
      </c>
      <c r="B447" t="s">
        <v>191</v>
      </c>
      <c r="C447" t="s">
        <v>286</v>
      </c>
      <c r="D447">
        <v>64</v>
      </c>
      <c r="E447" t="s">
        <v>289</v>
      </c>
      <c r="F447" t="s">
        <v>295</v>
      </c>
      <c r="G447" t="s">
        <v>397</v>
      </c>
      <c r="H447" t="s">
        <v>497</v>
      </c>
      <c r="I447" t="s">
        <v>944</v>
      </c>
      <c r="J447" s="1">
        <v>45539</v>
      </c>
      <c r="K447" t="s">
        <v>1443</v>
      </c>
      <c r="L447" t="s">
        <v>1497</v>
      </c>
      <c r="M447">
        <v>308.88</v>
      </c>
      <c r="N447">
        <v>2</v>
      </c>
      <c r="O447" t="s">
        <v>1550</v>
      </c>
      <c r="P447">
        <v>2</v>
      </c>
      <c r="Q447">
        <v>55</v>
      </c>
      <c r="R447" s="1">
        <v>45541</v>
      </c>
      <c r="S447" t="s">
        <v>1992</v>
      </c>
      <c r="T447">
        <f t="shared" si="66"/>
        <v>2</v>
      </c>
      <c r="U447">
        <f t="shared" si="67"/>
        <v>617.76</v>
      </c>
      <c r="V447">
        <f t="shared" si="68"/>
        <v>672.76</v>
      </c>
      <c r="W447">
        <f t="shared" si="69"/>
        <v>0.2</v>
      </c>
      <c r="X447">
        <f t="shared" si="70"/>
        <v>123.55200000000001</v>
      </c>
      <c r="Y447">
        <f t="shared" si="71"/>
        <v>549.20799999999997</v>
      </c>
      <c r="Z447" t="str">
        <f t="shared" si="72"/>
        <v>Gary Jacobs</v>
      </c>
      <c r="AA447" s="1" t="str">
        <f t="shared" si="73"/>
        <v>In Time</v>
      </c>
      <c r="AB447" t="str">
        <f t="shared" si="74"/>
        <v>Sep</v>
      </c>
      <c r="AC447" s="9">
        <f t="shared" si="75"/>
        <v>2024</v>
      </c>
      <c r="AD447" t="str">
        <f t="shared" si="76"/>
        <v>gmail.com</v>
      </c>
    </row>
    <row r="448" spans="1:30" x14ac:dyDescent="0.3">
      <c r="A448" t="s">
        <v>19</v>
      </c>
      <c r="B448" t="s">
        <v>119</v>
      </c>
      <c r="C448" t="s">
        <v>154</v>
      </c>
      <c r="D448">
        <v>53</v>
      </c>
      <c r="E448" t="s">
        <v>289</v>
      </c>
      <c r="F448" t="s">
        <v>292</v>
      </c>
      <c r="G448" t="s">
        <v>300</v>
      </c>
      <c r="H448" t="s">
        <v>400</v>
      </c>
      <c r="I448" t="s">
        <v>945</v>
      </c>
      <c r="J448" s="1">
        <v>45684</v>
      </c>
      <c r="K448" t="s">
        <v>1444</v>
      </c>
      <c r="L448" t="s">
        <v>1520</v>
      </c>
      <c r="M448">
        <v>62.42</v>
      </c>
      <c r="N448">
        <v>5</v>
      </c>
      <c r="O448" t="s">
        <v>1548</v>
      </c>
      <c r="P448">
        <v>6</v>
      </c>
      <c r="Q448">
        <v>69</v>
      </c>
      <c r="R448" s="1">
        <v>45690</v>
      </c>
      <c r="S448" t="s">
        <v>1993</v>
      </c>
      <c r="T448">
        <f t="shared" si="66"/>
        <v>6</v>
      </c>
      <c r="U448">
        <f t="shared" si="67"/>
        <v>312.10000000000002</v>
      </c>
      <c r="V448">
        <f t="shared" si="68"/>
        <v>381.1</v>
      </c>
      <c r="W448">
        <f t="shared" si="69"/>
        <v>0.15</v>
      </c>
      <c r="X448">
        <f t="shared" si="70"/>
        <v>46.815000000000005</v>
      </c>
      <c r="Y448">
        <f t="shared" si="71"/>
        <v>334.28500000000003</v>
      </c>
      <c r="Z448" t="str">
        <f t="shared" si="72"/>
        <v>Anthony Thomas</v>
      </c>
      <c r="AA448" s="1" t="str">
        <f t="shared" si="73"/>
        <v>In Time</v>
      </c>
      <c r="AB448" t="str">
        <f t="shared" si="74"/>
        <v>Jan</v>
      </c>
      <c r="AC448" s="9">
        <f t="shared" si="75"/>
        <v>2025</v>
      </c>
      <c r="AD448" t="str">
        <f t="shared" si="76"/>
        <v>rediffmail.com</v>
      </c>
    </row>
    <row r="449" spans="1:30" x14ac:dyDescent="0.3">
      <c r="A449" t="s">
        <v>63</v>
      </c>
      <c r="B449" t="s">
        <v>144</v>
      </c>
      <c r="C449" t="s">
        <v>244</v>
      </c>
      <c r="D449">
        <v>62</v>
      </c>
      <c r="E449" t="s">
        <v>289</v>
      </c>
      <c r="F449" t="s">
        <v>292</v>
      </c>
      <c r="G449" t="s">
        <v>344</v>
      </c>
      <c r="H449" t="s">
        <v>444</v>
      </c>
      <c r="I449" t="s">
        <v>862</v>
      </c>
      <c r="J449" s="1">
        <v>45429</v>
      </c>
      <c r="K449" t="s">
        <v>1362</v>
      </c>
      <c r="L449" t="s">
        <v>1531</v>
      </c>
      <c r="M449">
        <v>286.07</v>
      </c>
      <c r="N449">
        <v>1</v>
      </c>
      <c r="O449" t="s">
        <v>1547</v>
      </c>
      <c r="P449">
        <v>4</v>
      </c>
      <c r="Q449">
        <v>43</v>
      </c>
      <c r="R449" s="1">
        <v>45434</v>
      </c>
      <c r="S449" t="s">
        <v>1913</v>
      </c>
      <c r="T449">
        <f t="shared" si="66"/>
        <v>5</v>
      </c>
      <c r="U449">
        <f t="shared" si="67"/>
        <v>286.07</v>
      </c>
      <c r="V449">
        <f t="shared" si="68"/>
        <v>286.07</v>
      </c>
      <c r="W449">
        <f t="shared" si="69"/>
        <v>0</v>
      </c>
      <c r="X449">
        <f t="shared" si="70"/>
        <v>0</v>
      </c>
      <c r="Y449">
        <f t="shared" si="71"/>
        <v>286.07</v>
      </c>
      <c r="Z449" t="str">
        <f t="shared" si="72"/>
        <v>Lauren Crane</v>
      </c>
      <c r="AA449" s="1" t="str">
        <f t="shared" si="73"/>
        <v>Late</v>
      </c>
      <c r="AB449" t="str">
        <f t="shared" si="74"/>
        <v>May</v>
      </c>
      <c r="AC449" s="9">
        <f t="shared" si="75"/>
        <v>2024</v>
      </c>
      <c r="AD449" t="str">
        <f t="shared" si="76"/>
        <v>yahoo.com</v>
      </c>
    </row>
    <row r="450" spans="1:30" x14ac:dyDescent="0.3">
      <c r="A450" t="s">
        <v>116</v>
      </c>
      <c r="B450" t="s">
        <v>191</v>
      </c>
      <c r="C450" t="s">
        <v>286</v>
      </c>
      <c r="D450">
        <v>64</v>
      </c>
      <c r="E450" t="s">
        <v>289</v>
      </c>
      <c r="F450" t="s">
        <v>295</v>
      </c>
      <c r="G450" t="s">
        <v>397</v>
      </c>
      <c r="H450" t="s">
        <v>497</v>
      </c>
      <c r="I450" t="s">
        <v>947</v>
      </c>
      <c r="J450" s="1">
        <v>45379</v>
      </c>
      <c r="K450" t="s">
        <v>1446</v>
      </c>
      <c r="L450" t="s">
        <v>1498</v>
      </c>
      <c r="M450">
        <v>166.28</v>
      </c>
      <c r="N450">
        <v>2</v>
      </c>
      <c r="O450" t="s">
        <v>1550</v>
      </c>
      <c r="P450">
        <v>4</v>
      </c>
      <c r="Q450">
        <v>40</v>
      </c>
      <c r="R450" s="1">
        <v>45384</v>
      </c>
      <c r="S450" t="s">
        <v>1995</v>
      </c>
      <c r="T450">
        <f t="shared" si="66"/>
        <v>5</v>
      </c>
      <c r="U450">
        <f t="shared" si="67"/>
        <v>332.56</v>
      </c>
      <c r="V450">
        <f t="shared" si="68"/>
        <v>372.56</v>
      </c>
      <c r="W450">
        <f t="shared" si="69"/>
        <v>0.2</v>
      </c>
      <c r="X450">
        <f t="shared" si="70"/>
        <v>66.512</v>
      </c>
      <c r="Y450">
        <f t="shared" si="71"/>
        <v>306.048</v>
      </c>
      <c r="Z450" t="str">
        <f t="shared" si="72"/>
        <v>Gary Jacobs</v>
      </c>
      <c r="AA450" s="1" t="str">
        <f t="shared" si="73"/>
        <v>Late</v>
      </c>
      <c r="AB450" t="str">
        <f t="shared" si="74"/>
        <v>Mar</v>
      </c>
      <c r="AC450" s="9">
        <f t="shared" si="75"/>
        <v>2024</v>
      </c>
      <c r="AD450" t="str">
        <f t="shared" si="76"/>
        <v>gmail.com</v>
      </c>
    </row>
    <row r="451" spans="1:30" x14ac:dyDescent="0.3">
      <c r="A451" t="s">
        <v>77</v>
      </c>
      <c r="B451" t="s">
        <v>169</v>
      </c>
      <c r="C451" t="s">
        <v>255</v>
      </c>
      <c r="D451">
        <v>21</v>
      </c>
      <c r="E451" t="s">
        <v>288</v>
      </c>
      <c r="F451" t="s">
        <v>292</v>
      </c>
      <c r="G451" t="s">
        <v>358</v>
      </c>
      <c r="H451" t="s">
        <v>458</v>
      </c>
      <c r="I451" t="s">
        <v>948</v>
      </c>
      <c r="J451" s="1">
        <v>45638</v>
      </c>
      <c r="K451" t="s">
        <v>1447</v>
      </c>
      <c r="L451" t="s">
        <v>1538</v>
      </c>
      <c r="M451">
        <v>433.62</v>
      </c>
      <c r="N451">
        <v>2</v>
      </c>
      <c r="O451" t="s">
        <v>1549</v>
      </c>
      <c r="P451">
        <v>7</v>
      </c>
      <c r="Q451">
        <v>39</v>
      </c>
      <c r="R451" s="1">
        <v>45644</v>
      </c>
      <c r="S451" t="s">
        <v>1996</v>
      </c>
      <c r="T451">
        <f t="shared" ref="T451:T501" si="77">R451-J451</f>
        <v>6</v>
      </c>
      <c r="U451">
        <f t="shared" ref="U451:U501" si="78">M451*N451</f>
        <v>867.24</v>
      </c>
      <c r="V451">
        <f t="shared" ref="V451:V501" si="79">IF(O451="DEL0",U451,U451+Q451)</f>
        <v>906.24</v>
      </c>
      <c r="W451">
        <f t="shared" ref="W451:W501" si="80">IF(O451="FLAT8",8%,IF(O451="FLAT10",10%,IF(O451="FLAT15",15%,IF(O451="FLAT20",20%,0))))</f>
        <v>0.1</v>
      </c>
      <c r="X451">
        <f t="shared" ref="X451:X501" si="81">U451*W451</f>
        <v>86.724000000000004</v>
      </c>
      <c r="Y451">
        <f t="shared" ref="Y451:Y501" si="82">V451-X451</f>
        <v>819.51599999999996</v>
      </c>
      <c r="Z451" t="str">
        <f t="shared" ref="Z451:Z501" si="83">B451&amp;" "&amp;C451</f>
        <v>William Mann</v>
      </c>
      <c r="AA451" s="1" t="str">
        <f t="shared" ref="AA451:AA501" si="84">IF(R451&lt;(J451+P451),"Before Time",IF(R451=(J451+P451),"In Time","Late"))</f>
        <v>Before Time</v>
      </c>
      <c r="AB451" t="str">
        <f t="shared" ref="AB451:AB501" si="85">TEXT(J451,"MMM")</f>
        <v>Dec</v>
      </c>
      <c r="AC451" s="9">
        <f t="shared" ref="AC451:AC501" si="86">YEAR(J451)</f>
        <v>2024</v>
      </c>
      <c r="AD451" t="str">
        <f t="shared" ref="AD451:AD501" si="87">RIGHT(G451,LEN(G451)-FIND("@",G451))</f>
        <v>yahoo.com</v>
      </c>
    </row>
    <row r="452" spans="1:30" x14ac:dyDescent="0.3">
      <c r="A452" t="s">
        <v>56</v>
      </c>
      <c r="B452" t="s">
        <v>154</v>
      </c>
      <c r="C452" t="s">
        <v>237</v>
      </c>
      <c r="D452">
        <v>50</v>
      </c>
      <c r="E452" t="s">
        <v>290</v>
      </c>
      <c r="F452" t="s">
        <v>294</v>
      </c>
      <c r="G452" t="s">
        <v>337</v>
      </c>
      <c r="H452" t="s">
        <v>437</v>
      </c>
      <c r="I452" t="s">
        <v>949</v>
      </c>
      <c r="J452" s="1">
        <v>45149</v>
      </c>
      <c r="K452" t="s">
        <v>1448</v>
      </c>
      <c r="L452" t="s">
        <v>1526</v>
      </c>
      <c r="M452">
        <v>405</v>
      </c>
      <c r="N452">
        <v>3</v>
      </c>
      <c r="O452" t="s">
        <v>1549</v>
      </c>
      <c r="P452">
        <v>6</v>
      </c>
      <c r="Q452">
        <v>36</v>
      </c>
      <c r="R452" s="1">
        <v>45153</v>
      </c>
      <c r="S452" t="s">
        <v>1997</v>
      </c>
      <c r="T452">
        <f t="shared" si="77"/>
        <v>4</v>
      </c>
      <c r="U452">
        <f t="shared" si="78"/>
        <v>1215</v>
      </c>
      <c r="V452">
        <f t="shared" si="79"/>
        <v>1251</v>
      </c>
      <c r="W452">
        <f t="shared" si="80"/>
        <v>0.1</v>
      </c>
      <c r="X452">
        <f t="shared" si="81"/>
        <v>121.5</v>
      </c>
      <c r="Y452">
        <f t="shared" si="82"/>
        <v>1129.5</v>
      </c>
      <c r="Z452" t="str">
        <f t="shared" si="83"/>
        <v>Thomas Andersen</v>
      </c>
      <c r="AA452" s="1" t="str">
        <f t="shared" si="84"/>
        <v>Before Time</v>
      </c>
      <c r="AB452" t="str">
        <f t="shared" si="85"/>
        <v>Aug</v>
      </c>
      <c r="AC452" s="9">
        <f t="shared" si="86"/>
        <v>2023</v>
      </c>
      <c r="AD452" t="str">
        <f t="shared" si="87"/>
        <v>yahoo.com</v>
      </c>
    </row>
    <row r="453" spans="1:30" x14ac:dyDescent="0.3">
      <c r="A453" t="s">
        <v>19</v>
      </c>
      <c r="B453" t="s">
        <v>119</v>
      </c>
      <c r="C453" t="s">
        <v>154</v>
      </c>
      <c r="D453">
        <v>53</v>
      </c>
      <c r="E453" t="s">
        <v>289</v>
      </c>
      <c r="F453" t="s">
        <v>292</v>
      </c>
      <c r="G453" t="s">
        <v>300</v>
      </c>
      <c r="H453" t="s">
        <v>400</v>
      </c>
      <c r="I453" t="s">
        <v>950</v>
      </c>
      <c r="J453" s="1">
        <v>45076</v>
      </c>
      <c r="K453" t="s">
        <v>1449</v>
      </c>
      <c r="L453" t="s">
        <v>1501</v>
      </c>
      <c r="M453">
        <v>330.11</v>
      </c>
      <c r="N453">
        <v>3</v>
      </c>
      <c r="O453" t="s">
        <v>1550</v>
      </c>
      <c r="P453">
        <v>7</v>
      </c>
      <c r="Q453">
        <v>40</v>
      </c>
      <c r="R453" s="1">
        <v>45080</v>
      </c>
      <c r="S453" t="s">
        <v>1998</v>
      </c>
      <c r="T453">
        <f t="shared" si="77"/>
        <v>4</v>
      </c>
      <c r="U453">
        <f t="shared" si="78"/>
        <v>990.33</v>
      </c>
      <c r="V453">
        <f t="shared" si="79"/>
        <v>1030.33</v>
      </c>
      <c r="W453">
        <f t="shared" si="80"/>
        <v>0.2</v>
      </c>
      <c r="X453">
        <f t="shared" si="81"/>
        <v>198.06600000000003</v>
      </c>
      <c r="Y453">
        <f t="shared" si="82"/>
        <v>832.2639999999999</v>
      </c>
      <c r="Z453" t="str">
        <f t="shared" si="83"/>
        <v>Anthony Thomas</v>
      </c>
      <c r="AA453" s="1" t="str">
        <f t="shared" si="84"/>
        <v>Before Time</v>
      </c>
      <c r="AB453" t="str">
        <f t="shared" si="85"/>
        <v>May</v>
      </c>
      <c r="AC453" s="9">
        <f t="shared" si="86"/>
        <v>2023</v>
      </c>
      <c r="AD453" t="str">
        <f t="shared" si="87"/>
        <v>rediffmail.com</v>
      </c>
    </row>
    <row r="454" spans="1:30" x14ac:dyDescent="0.3">
      <c r="A454" t="s">
        <v>101</v>
      </c>
      <c r="B454" t="s">
        <v>189</v>
      </c>
      <c r="C454" t="s">
        <v>275</v>
      </c>
      <c r="D454">
        <v>47</v>
      </c>
      <c r="E454" t="s">
        <v>289</v>
      </c>
      <c r="F454" t="s">
        <v>291</v>
      </c>
      <c r="G454" t="s">
        <v>382</v>
      </c>
      <c r="H454" t="s">
        <v>482</v>
      </c>
      <c r="I454" t="s">
        <v>791</v>
      </c>
      <c r="J454" s="1">
        <v>45380</v>
      </c>
      <c r="K454" t="s">
        <v>1291</v>
      </c>
      <c r="L454" t="s">
        <v>1501</v>
      </c>
      <c r="M454">
        <v>330.11</v>
      </c>
      <c r="N454">
        <v>1</v>
      </c>
      <c r="O454" t="s">
        <v>1549</v>
      </c>
      <c r="P454">
        <v>4</v>
      </c>
      <c r="Q454">
        <v>39</v>
      </c>
      <c r="R454" s="1">
        <v>45384</v>
      </c>
      <c r="S454" t="s">
        <v>1842</v>
      </c>
      <c r="T454">
        <f t="shared" si="77"/>
        <v>4</v>
      </c>
      <c r="U454">
        <f t="shared" si="78"/>
        <v>330.11</v>
      </c>
      <c r="V454">
        <f t="shared" si="79"/>
        <v>369.11</v>
      </c>
      <c r="W454">
        <f t="shared" si="80"/>
        <v>0.1</v>
      </c>
      <c r="X454">
        <f t="shared" si="81"/>
        <v>33.011000000000003</v>
      </c>
      <c r="Y454">
        <f t="shared" si="82"/>
        <v>336.09899999999999</v>
      </c>
      <c r="Z454" t="str">
        <f t="shared" si="83"/>
        <v>Regina Hawkins</v>
      </c>
      <c r="AA454" s="1" t="str">
        <f t="shared" si="84"/>
        <v>In Time</v>
      </c>
      <c r="AB454" t="str">
        <f t="shared" si="85"/>
        <v>Mar</v>
      </c>
      <c r="AC454" s="9">
        <f t="shared" si="86"/>
        <v>2024</v>
      </c>
      <c r="AD454" t="str">
        <f t="shared" si="87"/>
        <v>rediffmail.com</v>
      </c>
    </row>
    <row r="455" spans="1:30" x14ac:dyDescent="0.3">
      <c r="A455" t="s">
        <v>117</v>
      </c>
      <c r="B455" t="s">
        <v>199</v>
      </c>
      <c r="C455" t="s">
        <v>287</v>
      </c>
      <c r="D455">
        <v>43</v>
      </c>
      <c r="E455" t="s">
        <v>288</v>
      </c>
      <c r="F455" t="s">
        <v>292</v>
      </c>
      <c r="G455" t="s">
        <v>398</v>
      </c>
      <c r="H455" t="s">
        <v>498</v>
      </c>
      <c r="I455" t="s">
        <v>952</v>
      </c>
      <c r="J455" s="1">
        <v>45571</v>
      </c>
      <c r="K455" t="s">
        <v>1451</v>
      </c>
      <c r="L455" t="s">
        <v>1537</v>
      </c>
      <c r="M455">
        <v>445.81</v>
      </c>
      <c r="N455">
        <v>2</v>
      </c>
      <c r="O455" t="s">
        <v>1548</v>
      </c>
      <c r="P455">
        <v>4</v>
      </c>
      <c r="Q455">
        <v>59</v>
      </c>
      <c r="R455" s="1">
        <v>45576</v>
      </c>
      <c r="S455" t="s">
        <v>2000</v>
      </c>
      <c r="T455">
        <f t="shared" si="77"/>
        <v>5</v>
      </c>
      <c r="U455">
        <f t="shared" si="78"/>
        <v>891.62</v>
      </c>
      <c r="V455">
        <f t="shared" si="79"/>
        <v>950.62</v>
      </c>
      <c r="W455">
        <f t="shared" si="80"/>
        <v>0.15</v>
      </c>
      <c r="X455">
        <f t="shared" si="81"/>
        <v>133.74299999999999</v>
      </c>
      <c r="Y455">
        <f t="shared" si="82"/>
        <v>816.87699999999995</v>
      </c>
      <c r="Z455" t="str">
        <f t="shared" si="83"/>
        <v>Janice Gordon</v>
      </c>
      <c r="AA455" s="1" t="str">
        <f t="shared" si="84"/>
        <v>Late</v>
      </c>
      <c r="AB455" t="str">
        <f t="shared" si="85"/>
        <v>Oct</v>
      </c>
      <c r="AC455" s="9">
        <f t="shared" si="86"/>
        <v>2024</v>
      </c>
      <c r="AD455" t="str">
        <f t="shared" si="87"/>
        <v>yahoo.com</v>
      </c>
    </row>
    <row r="456" spans="1:30" x14ac:dyDescent="0.3">
      <c r="A456" t="s">
        <v>63</v>
      </c>
      <c r="B456" t="s">
        <v>144</v>
      </c>
      <c r="C456" t="s">
        <v>244</v>
      </c>
      <c r="D456">
        <v>62</v>
      </c>
      <c r="E456" t="s">
        <v>289</v>
      </c>
      <c r="F456" t="s">
        <v>292</v>
      </c>
      <c r="G456" t="s">
        <v>344</v>
      </c>
      <c r="H456" t="s">
        <v>444</v>
      </c>
      <c r="I456" t="s">
        <v>886</v>
      </c>
      <c r="J456" s="1">
        <v>45380</v>
      </c>
      <c r="K456" t="s">
        <v>1386</v>
      </c>
      <c r="L456" t="s">
        <v>1546</v>
      </c>
      <c r="M456">
        <v>33.49</v>
      </c>
      <c r="N456">
        <v>1</v>
      </c>
      <c r="O456" t="s">
        <v>1547</v>
      </c>
      <c r="P456">
        <v>2</v>
      </c>
      <c r="Q456">
        <v>69</v>
      </c>
      <c r="R456" s="1">
        <v>45385</v>
      </c>
      <c r="S456" t="s">
        <v>1936</v>
      </c>
      <c r="T456">
        <f t="shared" si="77"/>
        <v>5</v>
      </c>
      <c r="U456">
        <f t="shared" si="78"/>
        <v>33.49</v>
      </c>
      <c r="V456">
        <f t="shared" si="79"/>
        <v>33.49</v>
      </c>
      <c r="W456">
        <f t="shared" si="80"/>
        <v>0</v>
      </c>
      <c r="X456">
        <f t="shared" si="81"/>
        <v>0</v>
      </c>
      <c r="Y456">
        <f t="shared" si="82"/>
        <v>33.49</v>
      </c>
      <c r="Z456" t="str">
        <f t="shared" si="83"/>
        <v>Lauren Crane</v>
      </c>
      <c r="AA456" s="1" t="str">
        <f t="shared" si="84"/>
        <v>Late</v>
      </c>
      <c r="AB456" t="str">
        <f t="shared" si="85"/>
        <v>Mar</v>
      </c>
      <c r="AC456" s="9">
        <f t="shared" si="86"/>
        <v>2024</v>
      </c>
      <c r="AD456" t="str">
        <f t="shared" si="87"/>
        <v>yahoo.com</v>
      </c>
    </row>
    <row r="457" spans="1:30" x14ac:dyDescent="0.3">
      <c r="A457" t="s">
        <v>55</v>
      </c>
      <c r="B457" t="s">
        <v>153</v>
      </c>
      <c r="C457" t="s">
        <v>236</v>
      </c>
      <c r="D457">
        <v>31</v>
      </c>
      <c r="E457" t="s">
        <v>290</v>
      </c>
      <c r="F457" t="s">
        <v>294</v>
      </c>
      <c r="G457" t="s">
        <v>336</v>
      </c>
      <c r="H457" t="s">
        <v>436</v>
      </c>
      <c r="I457" t="s">
        <v>954</v>
      </c>
      <c r="J457" s="1">
        <v>45525</v>
      </c>
      <c r="K457" t="s">
        <v>1453</v>
      </c>
      <c r="L457" t="s">
        <v>1524</v>
      </c>
      <c r="M457">
        <v>157.63999999999999</v>
      </c>
      <c r="N457">
        <v>1</v>
      </c>
      <c r="O457" t="s">
        <v>1550</v>
      </c>
      <c r="P457">
        <v>7</v>
      </c>
      <c r="Q457">
        <v>46</v>
      </c>
      <c r="R457" s="1">
        <v>45527</v>
      </c>
      <c r="S457" t="s">
        <v>2002</v>
      </c>
      <c r="T457">
        <f t="shared" si="77"/>
        <v>2</v>
      </c>
      <c r="U457">
        <f t="shared" si="78"/>
        <v>157.63999999999999</v>
      </c>
      <c r="V457">
        <f t="shared" si="79"/>
        <v>203.64</v>
      </c>
      <c r="W457">
        <f t="shared" si="80"/>
        <v>0.2</v>
      </c>
      <c r="X457">
        <f t="shared" si="81"/>
        <v>31.527999999999999</v>
      </c>
      <c r="Y457">
        <f t="shared" si="82"/>
        <v>172.11199999999999</v>
      </c>
      <c r="Z457" t="str">
        <f t="shared" si="83"/>
        <v>Timothy Hicks</v>
      </c>
      <c r="AA457" s="1" t="str">
        <f t="shared" si="84"/>
        <v>Before Time</v>
      </c>
      <c r="AB457" t="str">
        <f t="shared" si="85"/>
        <v>Aug</v>
      </c>
      <c r="AC457" s="9">
        <f t="shared" si="86"/>
        <v>2024</v>
      </c>
      <c r="AD457" t="str">
        <f t="shared" si="87"/>
        <v>gmail.com</v>
      </c>
    </row>
    <row r="458" spans="1:30" x14ac:dyDescent="0.3">
      <c r="A458" t="s">
        <v>54</v>
      </c>
      <c r="B458" t="s">
        <v>152</v>
      </c>
      <c r="C458" t="s">
        <v>235</v>
      </c>
      <c r="D458">
        <v>32</v>
      </c>
      <c r="E458" t="s">
        <v>289</v>
      </c>
      <c r="F458" t="s">
        <v>297</v>
      </c>
      <c r="G458" t="s">
        <v>335</v>
      </c>
      <c r="H458" t="s">
        <v>435</v>
      </c>
      <c r="I458" t="s">
        <v>955</v>
      </c>
      <c r="J458" s="1">
        <v>45257</v>
      </c>
      <c r="K458" t="s">
        <v>1454</v>
      </c>
      <c r="L458" t="s">
        <v>1507</v>
      </c>
      <c r="M458">
        <v>257.06</v>
      </c>
      <c r="N458">
        <v>1</v>
      </c>
      <c r="O458" t="s">
        <v>2047</v>
      </c>
      <c r="P458">
        <v>3</v>
      </c>
      <c r="Q458">
        <v>47</v>
      </c>
      <c r="R458" s="1">
        <v>45259</v>
      </c>
      <c r="S458" t="s">
        <v>2003</v>
      </c>
      <c r="T458">
        <f t="shared" si="77"/>
        <v>2</v>
      </c>
      <c r="U458">
        <f t="shared" si="78"/>
        <v>257.06</v>
      </c>
      <c r="V458">
        <f t="shared" si="79"/>
        <v>304.06</v>
      </c>
      <c r="W458">
        <f t="shared" si="80"/>
        <v>0.08</v>
      </c>
      <c r="X458">
        <f t="shared" si="81"/>
        <v>20.564800000000002</v>
      </c>
      <c r="Y458">
        <f t="shared" si="82"/>
        <v>283.49520000000001</v>
      </c>
      <c r="Z458" t="str">
        <f t="shared" si="83"/>
        <v>Robert Castillo</v>
      </c>
      <c r="AA458" s="1" t="str">
        <f t="shared" si="84"/>
        <v>Before Time</v>
      </c>
      <c r="AB458" t="str">
        <f t="shared" si="85"/>
        <v>Nov</v>
      </c>
      <c r="AC458" s="9">
        <f t="shared" si="86"/>
        <v>2023</v>
      </c>
      <c r="AD458" t="str">
        <f t="shared" si="87"/>
        <v>gmail.com</v>
      </c>
    </row>
    <row r="459" spans="1:30" x14ac:dyDescent="0.3">
      <c r="A459" t="s">
        <v>104</v>
      </c>
      <c r="B459" t="s">
        <v>123</v>
      </c>
      <c r="C459" t="s">
        <v>278</v>
      </c>
      <c r="D459">
        <v>46</v>
      </c>
      <c r="E459" t="s">
        <v>288</v>
      </c>
      <c r="F459" t="s">
        <v>291</v>
      </c>
      <c r="G459" t="s">
        <v>385</v>
      </c>
      <c r="H459" t="s">
        <v>485</v>
      </c>
      <c r="I459" t="s">
        <v>956</v>
      </c>
      <c r="J459" s="1">
        <v>44980</v>
      </c>
      <c r="K459" t="s">
        <v>1455</v>
      </c>
      <c r="L459" t="s">
        <v>1528</v>
      </c>
      <c r="M459">
        <v>431.44</v>
      </c>
      <c r="N459">
        <v>3</v>
      </c>
      <c r="O459" t="s">
        <v>2047</v>
      </c>
      <c r="P459">
        <v>6</v>
      </c>
      <c r="Q459">
        <v>70</v>
      </c>
      <c r="R459" s="1">
        <v>44983</v>
      </c>
      <c r="S459" t="s">
        <v>2004</v>
      </c>
      <c r="T459">
        <f t="shared" si="77"/>
        <v>3</v>
      </c>
      <c r="U459">
        <f t="shared" si="78"/>
        <v>1294.32</v>
      </c>
      <c r="V459">
        <f t="shared" si="79"/>
        <v>1364.32</v>
      </c>
      <c r="W459">
        <f t="shared" si="80"/>
        <v>0.08</v>
      </c>
      <c r="X459">
        <f t="shared" si="81"/>
        <v>103.54559999999999</v>
      </c>
      <c r="Y459">
        <f t="shared" si="82"/>
        <v>1260.7744</v>
      </c>
      <c r="Z459" t="str">
        <f t="shared" si="83"/>
        <v>Christine Aguilar</v>
      </c>
      <c r="AA459" s="1" t="str">
        <f t="shared" si="84"/>
        <v>Before Time</v>
      </c>
      <c r="AB459" t="str">
        <f t="shared" si="85"/>
        <v>Feb</v>
      </c>
      <c r="AC459" s="9">
        <f t="shared" si="86"/>
        <v>2023</v>
      </c>
      <c r="AD459" t="str">
        <f t="shared" si="87"/>
        <v>gmail.com</v>
      </c>
    </row>
    <row r="460" spans="1:30" x14ac:dyDescent="0.3">
      <c r="A460" t="s">
        <v>101</v>
      </c>
      <c r="B460" t="s">
        <v>189</v>
      </c>
      <c r="C460" t="s">
        <v>275</v>
      </c>
      <c r="D460">
        <v>47</v>
      </c>
      <c r="E460" t="s">
        <v>289</v>
      </c>
      <c r="F460" t="s">
        <v>291</v>
      </c>
      <c r="G460" t="s">
        <v>382</v>
      </c>
      <c r="H460" t="s">
        <v>482</v>
      </c>
      <c r="I460" t="s">
        <v>857</v>
      </c>
      <c r="J460" s="1">
        <v>45183</v>
      </c>
      <c r="K460" t="s">
        <v>1357</v>
      </c>
      <c r="L460" t="s">
        <v>1515</v>
      </c>
      <c r="M460">
        <v>132.97</v>
      </c>
      <c r="N460">
        <v>1</v>
      </c>
      <c r="O460" t="s">
        <v>1548</v>
      </c>
      <c r="P460">
        <v>6</v>
      </c>
      <c r="Q460">
        <v>37</v>
      </c>
      <c r="R460" s="1">
        <v>45190</v>
      </c>
      <c r="S460" t="s">
        <v>1908</v>
      </c>
      <c r="T460">
        <f t="shared" si="77"/>
        <v>7</v>
      </c>
      <c r="U460">
        <f t="shared" si="78"/>
        <v>132.97</v>
      </c>
      <c r="V460">
        <f t="shared" si="79"/>
        <v>169.97</v>
      </c>
      <c r="W460">
        <f t="shared" si="80"/>
        <v>0.15</v>
      </c>
      <c r="X460">
        <f t="shared" si="81"/>
        <v>19.945499999999999</v>
      </c>
      <c r="Y460">
        <f t="shared" si="82"/>
        <v>150.02449999999999</v>
      </c>
      <c r="Z460" t="str">
        <f t="shared" si="83"/>
        <v>Regina Hawkins</v>
      </c>
      <c r="AA460" s="1" t="str">
        <f t="shared" si="84"/>
        <v>Late</v>
      </c>
      <c r="AB460" t="str">
        <f t="shared" si="85"/>
        <v>Sep</v>
      </c>
      <c r="AC460" s="9">
        <f t="shared" si="86"/>
        <v>2023</v>
      </c>
      <c r="AD460" t="str">
        <f t="shared" si="87"/>
        <v>rediffmail.com</v>
      </c>
    </row>
    <row r="461" spans="1:30" x14ac:dyDescent="0.3">
      <c r="A461" t="s">
        <v>101</v>
      </c>
      <c r="B461" t="s">
        <v>189</v>
      </c>
      <c r="C461" t="s">
        <v>275</v>
      </c>
      <c r="D461">
        <v>47</v>
      </c>
      <c r="E461" t="s">
        <v>289</v>
      </c>
      <c r="F461" t="s">
        <v>291</v>
      </c>
      <c r="G461" t="s">
        <v>382</v>
      </c>
      <c r="H461" t="s">
        <v>482</v>
      </c>
      <c r="I461" t="s">
        <v>958</v>
      </c>
      <c r="J461" s="1">
        <v>45015</v>
      </c>
      <c r="K461" t="s">
        <v>1457</v>
      </c>
      <c r="L461" t="s">
        <v>1525</v>
      </c>
      <c r="M461">
        <v>481.48</v>
      </c>
      <c r="N461">
        <v>2</v>
      </c>
      <c r="O461" t="s">
        <v>1547</v>
      </c>
      <c r="P461">
        <v>5</v>
      </c>
      <c r="Q461">
        <v>45</v>
      </c>
      <c r="R461" s="1">
        <v>45017</v>
      </c>
      <c r="S461" t="s">
        <v>2006</v>
      </c>
      <c r="T461">
        <f t="shared" si="77"/>
        <v>2</v>
      </c>
      <c r="U461">
        <f t="shared" si="78"/>
        <v>962.96</v>
      </c>
      <c r="V461">
        <f t="shared" si="79"/>
        <v>962.96</v>
      </c>
      <c r="W461">
        <f t="shared" si="80"/>
        <v>0</v>
      </c>
      <c r="X461">
        <f t="shared" si="81"/>
        <v>0</v>
      </c>
      <c r="Y461">
        <f t="shared" si="82"/>
        <v>962.96</v>
      </c>
      <c r="Z461" t="str">
        <f t="shared" si="83"/>
        <v>Regina Hawkins</v>
      </c>
      <c r="AA461" s="1" t="str">
        <f t="shared" si="84"/>
        <v>Before Time</v>
      </c>
      <c r="AB461" t="str">
        <f t="shared" si="85"/>
        <v>Mar</v>
      </c>
      <c r="AC461" s="9">
        <f t="shared" si="86"/>
        <v>2023</v>
      </c>
      <c r="AD461" t="str">
        <f t="shared" si="87"/>
        <v>rediffmail.com</v>
      </c>
    </row>
    <row r="462" spans="1:30" x14ac:dyDescent="0.3">
      <c r="A462" t="s">
        <v>93</v>
      </c>
      <c r="B462" t="s">
        <v>182</v>
      </c>
      <c r="C462" t="s">
        <v>269</v>
      </c>
      <c r="D462">
        <v>54</v>
      </c>
      <c r="E462" t="s">
        <v>289</v>
      </c>
      <c r="F462" t="s">
        <v>295</v>
      </c>
      <c r="G462" t="s">
        <v>374</v>
      </c>
      <c r="H462" t="s">
        <v>474</v>
      </c>
      <c r="I462" t="s">
        <v>621</v>
      </c>
      <c r="J462" s="1">
        <v>45587</v>
      </c>
      <c r="K462" t="s">
        <v>1121</v>
      </c>
      <c r="L462" t="s">
        <v>1532</v>
      </c>
      <c r="M462">
        <v>87.09</v>
      </c>
      <c r="N462">
        <v>5</v>
      </c>
      <c r="O462" t="s">
        <v>1548</v>
      </c>
      <c r="P462">
        <v>7</v>
      </c>
      <c r="Q462">
        <v>40</v>
      </c>
      <c r="R462" s="1">
        <v>45589</v>
      </c>
      <c r="S462" t="s">
        <v>1673</v>
      </c>
      <c r="T462">
        <f t="shared" si="77"/>
        <v>2</v>
      </c>
      <c r="U462">
        <f t="shared" si="78"/>
        <v>435.45000000000005</v>
      </c>
      <c r="V462">
        <f t="shared" si="79"/>
        <v>475.45000000000005</v>
      </c>
      <c r="W462">
        <f t="shared" si="80"/>
        <v>0.15</v>
      </c>
      <c r="X462">
        <f t="shared" si="81"/>
        <v>65.31750000000001</v>
      </c>
      <c r="Y462">
        <f t="shared" si="82"/>
        <v>410.13250000000005</v>
      </c>
      <c r="Z462" t="str">
        <f t="shared" si="83"/>
        <v>Diana French</v>
      </c>
      <c r="AA462" s="1" t="str">
        <f t="shared" si="84"/>
        <v>Before Time</v>
      </c>
      <c r="AB462" t="str">
        <f t="shared" si="85"/>
        <v>Oct</v>
      </c>
      <c r="AC462" s="9">
        <f t="shared" si="86"/>
        <v>2024</v>
      </c>
      <c r="AD462" t="str">
        <f t="shared" si="87"/>
        <v>outlook.com</v>
      </c>
    </row>
    <row r="463" spans="1:30" x14ac:dyDescent="0.3">
      <c r="A463" t="s">
        <v>94</v>
      </c>
      <c r="B463" t="s">
        <v>183</v>
      </c>
      <c r="C463" t="s">
        <v>270</v>
      </c>
      <c r="D463">
        <v>42</v>
      </c>
      <c r="E463" t="s">
        <v>288</v>
      </c>
      <c r="F463" t="s">
        <v>295</v>
      </c>
      <c r="G463" t="s">
        <v>375</v>
      </c>
      <c r="H463" t="s">
        <v>475</v>
      </c>
      <c r="I463" t="s">
        <v>960</v>
      </c>
      <c r="J463" s="1">
        <v>45596</v>
      </c>
      <c r="K463" t="s">
        <v>1459</v>
      </c>
      <c r="L463" t="s">
        <v>1543</v>
      </c>
      <c r="M463">
        <v>381.73</v>
      </c>
      <c r="N463">
        <v>5</v>
      </c>
      <c r="O463" t="s">
        <v>1548</v>
      </c>
      <c r="P463">
        <v>1</v>
      </c>
      <c r="Q463">
        <v>53</v>
      </c>
      <c r="R463" s="1">
        <v>45603</v>
      </c>
      <c r="S463" t="s">
        <v>2008</v>
      </c>
      <c r="T463">
        <f t="shared" si="77"/>
        <v>7</v>
      </c>
      <c r="U463">
        <f t="shared" si="78"/>
        <v>1908.65</v>
      </c>
      <c r="V463">
        <f t="shared" si="79"/>
        <v>1961.65</v>
      </c>
      <c r="W463">
        <f t="shared" si="80"/>
        <v>0.15</v>
      </c>
      <c r="X463">
        <f t="shared" si="81"/>
        <v>286.29750000000001</v>
      </c>
      <c r="Y463">
        <f t="shared" si="82"/>
        <v>1675.3525</v>
      </c>
      <c r="Z463" t="str">
        <f t="shared" si="83"/>
        <v>Edward Black</v>
      </c>
      <c r="AA463" s="1" t="str">
        <f t="shared" si="84"/>
        <v>Late</v>
      </c>
      <c r="AB463" t="str">
        <f t="shared" si="85"/>
        <v>Oct</v>
      </c>
      <c r="AC463" s="9">
        <f t="shared" si="86"/>
        <v>2024</v>
      </c>
      <c r="AD463" t="str">
        <f t="shared" si="87"/>
        <v>gmail.com</v>
      </c>
    </row>
    <row r="464" spans="1:30" x14ac:dyDescent="0.3">
      <c r="A464" t="s">
        <v>109</v>
      </c>
      <c r="B464" t="s">
        <v>194</v>
      </c>
      <c r="C464" t="s">
        <v>283</v>
      </c>
      <c r="D464">
        <v>43</v>
      </c>
      <c r="E464" t="s">
        <v>288</v>
      </c>
      <c r="F464" t="s">
        <v>294</v>
      </c>
      <c r="G464" t="s">
        <v>390</v>
      </c>
      <c r="H464" t="s">
        <v>490</v>
      </c>
      <c r="I464" t="s">
        <v>961</v>
      </c>
      <c r="J464" s="1">
        <v>45087</v>
      </c>
      <c r="K464" t="s">
        <v>1460</v>
      </c>
      <c r="L464" t="s">
        <v>1528</v>
      </c>
      <c r="M464">
        <v>431.44</v>
      </c>
      <c r="N464">
        <v>3</v>
      </c>
      <c r="O464" t="s">
        <v>1548</v>
      </c>
      <c r="P464">
        <v>4</v>
      </c>
      <c r="Q464">
        <v>58</v>
      </c>
      <c r="R464" s="1">
        <v>45092</v>
      </c>
      <c r="S464" t="s">
        <v>2009</v>
      </c>
      <c r="T464">
        <f t="shared" si="77"/>
        <v>5</v>
      </c>
      <c r="U464">
        <f t="shared" si="78"/>
        <v>1294.32</v>
      </c>
      <c r="V464">
        <f t="shared" si="79"/>
        <v>1352.32</v>
      </c>
      <c r="W464">
        <f t="shared" si="80"/>
        <v>0.15</v>
      </c>
      <c r="X464">
        <f t="shared" si="81"/>
        <v>194.148</v>
      </c>
      <c r="Y464">
        <f t="shared" si="82"/>
        <v>1158.172</v>
      </c>
      <c r="Z464" t="str">
        <f t="shared" si="83"/>
        <v>Jared Horn</v>
      </c>
      <c r="AA464" s="1" t="str">
        <f t="shared" si="84"/>
        <v>Late</v>
      </c>
      <c r="AB464" t="str">
        <f t="shared" si="85"/>
        <v>Jun</v>
      </c>
      <c r="AC464" s="9">
        <f t="shared" si="86"/>
        <v>2023</v>
      </c>
      <c r="AD464" t="str">
        <f t="shared" si="87"/>
        <v>outlook.com</v>
      </c>
    </row>
    <row r="465" spans="1:30" x14ac:dyDescent="0.3">
      <c r="A465" t="s">
        <v>63</v>
      </c>
      <c r="B465" t="s">
        <v>144</v>
      </c>
      <c r="C465" t="s">
        <v>244</v>
      </c>
      <c r="D465">
        <v>62</v>
      </c>
      <c r="E465" t="s">
        <v>289</v>
      </c>
      <c r="F465" t="s">
        <v>292</v>
      </c>
      <c r="G465" t="s">
        <v>344</v>
      </c>
      <c r="H465" t="s">
        <v>444</v>
      </c>
      <c r="I465" t="s">
        <v>902</v>
      </c>
      <c r="J465" s="1">
        <v>45393</v>
      </c>
      <c r="K465" t="s">
        <v>1402</v>
      </c>
      <c r="L465" t="s">
        <v>1539</v>
      </c>
      <c r="M465">
        <v>235.63</v>
      </c>
      <c r="N465">
        <v>3</v>
      </c>
      <c r="O465" t="s">
        <v>1547</v>
      </c>
      <c r="P465">
        <v>6</v>
      </c>
      <c r="Q465">
        <v>41</v>
      </c>
      <c r="R465" s="1">
        <v>45398</v>
      </c>
      <c r="S465" t="s">
        <v>1951</v>
      </c>
      <c r="T465">
        <f t="shared" si="77"/>
        <v>5</v>
      </c>
      <c r="U465">
        <f t="shared" si="78"/>
        <v>706.89</v>
      </c>
      <c r="V465">
        <f t="shared" si="79"/>
        <v>706.89</v>
      </c>
      <c r="W465">
        <f t="shared" si="80"/>
        <v>0</v>
      </c>
      <c r="X465">
        <f t="shared" si="81"/>
        <v>0</v>
      </c>
      <c r="Y465">
        <f t="shared" si="82"/>
        <v>706.89</v>
      </c>
      <c r="Z465" t="str">
        <f t="shared" si="83"/>
        <v>Lauren Crane</v>
      </c>
      <c r="AA465" s="1" t="str">
        <f t="shared" si="84"/>
        <v>Before Time</v>
      </c>
      <c r="AB465" t="str">
        <f t="shared" si="85"/>
        <v>Apr</v>
      </c>
      <c r="AC465" s="9">
        <f t="shared" si="86"/>
        <v>2024</v>
      </c>
      <c r="AD465" t="str">
        <f t="shared" si="87"/>
        <v>yahoo.com</v>
      </c>
    </row>
    <row r="466" spans="1:30" x14ac:dyDescent="0.3">
      <c r="A466" t="s">
        <v>33</v>
      </c>
      <c r="B466" t="s">
        <v>133</v>
      </c>
      <c r="C466" t="s">
        <v>215</v>
      </c>
      <c r="D466">
        <v>46</v>
      </c>
      <c r="E466" t="s">
        <v>288</v>
      </c>
      <c r="F466" t="s">
        <v>297</v>
      </c>
      <c r="G466" t="s">
        <v>314</v>
      </c>
      <c r="H466" t="s">
        <v>414</v>
      </c>
      <c r="I466" t="s">
        <v>963</v>
      </c>
      <c r="J466" s="1">
        <v>45525</v>
      </c>
      <c r="K466" t="s">
        <v>1462</v>
      </c>
      <c r="L466" t="s">
        <v>1506</v>
      </c>
      <c r="M466">
        <v>372.62</v>
      </c>
      <c r="N466">
        <v>4</v>
      </c>
      <c r="O466" t="s">
        <v>2047</v>
      </c>
      <c r="P466">
        <v>3</v>
      </c>
      <c r="Q466">
        <v>48</v>
      </c>
      <c r="R466" s="1">
        <v>45530</v>
      </c>
      <c r="S466" t="s">
        <v>2011</v>
      </c>
      <c r="T466">
        <f t="shared" si="77"/>
        <v>5</v>
      </c>
      <c r="U466">
        <f t="shared" si="78"/>
        <v>1490.48</v>
      </c>
      <c r="V466">
        <f t="shared" si="79"/>
        <v>1538.48</v>
      </c>
      <c r="W466">
        <f t="shared" si="80"/>
        <v>0.08</v>
      </c>
      <c r="X466">
        <f t="shared" si="81"/>
        <v>119.2384</v>
      </c>
      <c r="Y466">
        <f t="shared" si="82"/>
        <v>1419.2416000000001</v>
      </c>
      <c r="Z466" t="str">
        <f t="shared" si="83"/>
        <v>Erin Miller</v>
      </c>
      <c r="AA466" s="1" t="str">
        <f t="shared" si="84"/>
        <v>Late</v>
      </c>
      <c r="AB466" t="str">
        <f t="shared" si="85"/>
        <v>Aug</v>
      </c>
      <c r="AC466" s="9">
        <f t="shared" si="86"/>
        <v>2024</v>
      </c>
      <c r="AD466" t="str">
        <f t="shared" si="87"/>
        <v>gmail.com</v>
      </c>
    </row>
    <row r="467" spans="1:30" x14ac:dyDescent="0.3">
      <c r="A467" t="s">
        <v>50</v>
      </c>
      <c r="B467" t="s">
        <v>148</v>
      </c>
      <c r="C467" t="s">
        <v>231</v>
      </c>
      <c r="D467">
        <v>45</v>
      </c>
      <c r="E467" t="s">
        <v>288</v>
      </c>
      <c r="F467" t="s">
        <v>292</v>
      </c>
      <c r="G467" t="s">
        <v>331</v>
      </c>
      <c r="H467" t="s">
        <v>431</v>
      </c>
      <c r="I467" t="s">
        <v>964</v>
      </c>
      <c r="J467" s="1">
        <v>45103</v>
      </c>
      <c r="K467" t="s">
        <v>1463</v>
      </c>
      <c r="L467" t="s">
        <v>1537</v>
      </c>
      <c r="M467">
        <v>445.81</v>
      </c>
      <c r="N467">
        <v>3</v>
      </c>
      <c r="O467" t="s">
        <v>1550</v>
      </c>
      <c r="P467">
        <v>1</v>
      </c>
      <c r="Q467">
        <v>58</v>
      </c>
      <c r="R467" s="1">
        <v>45109</v>
      </c>
      <c r="S467" t="s">
        <v>2012</v>
      </c>
      <c r="T467">
        <f t="shared" si="77"/>
        <v>6</v>
      </c>
      <c r="U467">
        <f t="shared" si="78"/>
        <v>1337.43</v>
      </c>
      <c r="V467">
        <f t="shared" si="79"/>
        <v>1395.43</v>
      </c>
      <c r="W467">
        <f t="shared" si="80"/>
        <v>0.2</v>
      </c>
      <c r="X467">
        <f t="shared" si="81"/>
        <v>267.48600000000005</v>
      </c>
      <c r="Y467">
        <f t="shared" si="82"/>
        <v>1127.944</v>
      </c>
      <c r="Z467" t="str">
        <f t="shared" si="83"/>
        <v>Jenny Estrada</v>
      </c>
      <c r="AA467" s="1" t="str">
        <f t="shared" si="84"/>
        <v>Late</v>
      </c>
      <c r="AB467" t="str">
        <f t="shared" si="85"/>
        <v>Jun</v>
      </c>
      <c r="AC467" s="9">
        <f t="shared" si="86"/>
        <v>2023</v>
      </c>
      <c r="AD467" t="str">
        <f t="shared" si="87"/>
        <v>yahoo.com</v>
      </c>
    </row>
    <row r="468" spans="1:30" x14ac:dyDescent="0.3">
      <c r="A468" t="s">
        <v>80</v>
      </c>
      <c r="B468" t="s">
        <v>131</v>
      </c>
      <c r="C468" t="s">
        <v>257</v>
      </c>
      <c r="D468">
        <v>44</v>
      </c>
      <c r="E468" t="s">
        <v>290</v>
      </c>
      <c r="F468" t="s">
        <v>296</v>
      </c>
      <c r="G468" t="s">
        <v>361</v>
      </c>
      <c r="H468" t="s">
        <v>461</v>
      </c>
      <c r="I468" t="s">
        <v>965</v>
      </c>
      <c r="J468" s="1">
        <v>45410</v>
      </c>
      <c r="K468" t="s">
        <v>1464</v>
      </c>
      <c r="L468" t="s">
        <v>1536</v>
      </c>
      <c r="M468">
        <v>403.03</v>
      </c>
      <c r="N468">
        <v>2</v>
      </c>
      <c r="O468" t="s">
        <v>1548</v>
      </c>
      <c r="P468">
        <v>7</v>
      </c>
      <c r="Q468">
        <v>39</v>
      </c>
      <c r="R468" s="1">
        <v>45417</v>
      </c>
      <c r="S468" t="s">
        <v>2013</v>
      </c>
      <c r="T468">
        <f t="shared" si="77"/>
        <v>7</v>
      </c>
      <c r="U468">
        <f t="shared" si="78"/>
        <v>806.06</v>
      </c>
      <c r="V468">
        <f t="shared" si="79"/>
        <v>845.06</v>
      </c>
      <c r="W468">
        <f t="shared" si="80"/>
        <v>0.15</v>
      </c>
      <c r="X468">
        <f t="shared" si="81"/>
        <v>120.90899999999999</v>
      </c>
      <c r="Y468">
        <f t="shared" si="82"/>
        <v>724.15099999999995</v>
      </c>
      <c r="Z468" t="str">
        <f t="shared" si="83"/>
        <v>Amy Ellis</v>
      </c>
      <c r="AA468" s="1" t="str">
        <f t="shared" si="84"/>
        <v>In Time</v>
      </c>
      <c r="AB468" t="str">
        <f t="shared" si="85"/>
        <v>Apr</v>
      </c>
      <c r="AC468" s="9">
        <f t="shared" si="86"/>
        <v>2024</v>
      </c>
      <c r="AD468" t="str">
        <f t="shared" si="87"/>
        <v>gmail.com</v>
      </c>
    </row>
    <row r="469" spans="1:30" x14ac:dyDescent="0.3">
      <c r="A469" t="s">
        <v>99</v>
      </c>
      <c r="B469" t="s">
        <v>131</v>
      </c>
      <c r="C469" t="s">
        <v>273</v>
      </c>
      <c r="D469">
        <v>29</v>
      </c>
      <c r="E469" t="s">
        <v>288</v>
      </c>
      <c r="F469" t="s">
        <v>292</v>
      </c>
      <c r="G469" t="s">
        <v>380</v>
      </c>
      <c r="H469" t="s">
        <v>480</v>
      </c>
      <c r="I469" t="s">
        <v>966</v>
      </c>
      <c r="J469" s="1">
        <v>45423</v>
      </c>
      <c r="K469" t="s">
        <v>1465</v>
      </c>
      <c r="L469" t="s">
        <v>1518</v>
      </c>
      <c r="M469">
        <v>496.59</v>
      </c>
      <c r="N469">
        <v>5</v>
      </c>
      <c r="O469" t="s">
        <v>2047</v>
      </c>
      <c r="P469">
        <v>3</v>
      </c>
      <c r="Q469">
        <v>61</v>
      </c>
      <c r="R469" s="1">
        <v>45425</v>
      </c>
      <c r="S469" t="s">
        <v>2014</v>
      </c>
      <c r="T469">
        <f t="shared" si="77"/>
        <v>2</v>
      </c>
      <c r="U469">
        <f t="shared" si="78"/>
        <v>2482.9499999999998</v>
      </c>
      <c r="V469">
        <f t="shared" si="79"/>
        <v>2543.9499999999998</v>
      </c>
      <c r="W469">
        <f t="shared" si="80"/>
        <v>0.08</v>
      </c>
      <c r="X469">
        <f t="shared" si="81"/>
        <v>198.636</v>
      </c>
      <c r="Y469">
        <f t="shared" si="82"/>
        <v>2345.3139999999999</v>
      </c>
      <c r="Z469" t="str">
        <f t="shared" si="83"/>
        <v>Amy Griffin</v>
      </c>
      <c r="AA469" s="1" t="str">
        <f t="shared" si="84"/>
        <v>Before Time</v>
      </c>
      <c r="AB469" t="str">
        <f t="shared" si="85"/>
        <v>May</v>
      </c>
      <c r="AC469" s="9">
        <f t="shared" si="86"/>
        <v>2024</v>
      </c>
      <c r="AD469" t="str">
        <f t="shared" si="87"/>
        <v>rediffmail.com</v>
      </c>
    </row>
    <row r="470" spans="1:30" x14ac:dyDescent="0.3">
      <c r="A470" t="s">
        <v>22</v>
      </c>
      <c r="B470" t="s">
        <v>122</v>
      </c>
      <c r="C470" t="s">
        <v>204</v>
      </c>
      <c r="D470">
        <v>49</v>
      </c>
      <c r="E470" t="s">
        <v>290</v>
      </c>
      <c r="F470" t="s">
        <v>291</v>
      </c>
      <c r="G470" t="s">
        <v>303</v>
      </c>
      <c r="H470" t="s">
        <v>403</v>
      </c>
      <c r="I470" t="s">
        <v>967</v>
      </c>
      <c r="J470" s="1">
        <v>45377</v>
      </c>
      <c r="K470" t="s">
        <v>1466</v>
      </c>
      <c r="L470" t="s">
        <v>1500</v>
      </c>
      <c r="M470">
        <v>44.5</v>
      </c>
      <c r="N470">
        <v>3</v>
      </c>
      <c r="O470" t="s">
        <v>1550</v>
      </c>
      <c r="P470">
        <v>7</v>
      </c>
      <c r="Q470">
        <v>40</v>
      </c>
      <c r="R470" s="1">
        <v>45382</v>
      </c>
      <c r="S470" t="s">
        <v>2015</v>
      </c>
      <c r="T470">
        <f t="shared" si="77"/>
        <v>5</v>
      </c>
      <c r="U470">
        <f t="shared" si="78"/>
        <v>133.5</v>
      </c>
      <c r="V470">
        <f t="shared" si="79"/>
        <v>173.5</v>
      </c>
      <c r="W470">
        <f t="shared" si="80"/>
        <v>0.2</v>
      </c>
      <c r="X470">
        <f t="shared" si="81"/>
        <v>26.700000000000003</v>
      </c>
      <c r="Y470">
        <f t="shared" si="82"/>
        <v>146.80000000000001</v>
      </c>
      <c r="Z470" t="str">
        <f t="shared" si="83"/>
        <v>Angela Horne</v>
      </c>
      <c r="AA470" s="1" t="str">
        <f t="shared" si="84"/>
        <v>Before Time</v>
      </c>
      <c r="AB470" t="str">
        <f t="shared" si="85"/>
        <v>Mar</v>
      </c>
      <c r="AC470" s="9">
        <f t="shared" si="86"/>
        <v>2024</v>
      </c>
      <c r="AD470" t="str">
        <f t="shared" si="87"/>
        <v>outlook.com</v>
      </c>
    </row>
    <row r="471" spans="1:30" x14ac:dyDescent="0.3">
      <c r="A471" t="s">
        <v>63</v>
      </c>
      <c r="B471" t="s">
        <v>144</v>
      </c>
      <c r="C471" t="s">
        <v>244</v>
      </c>
      <c r="D471">
        <v>62</v>
      </c>
      <c r="E471" t="s">
        <v>289</v>
      </c>
      <c r="F471" t="s">
        <v>292</v>
      </c>
      <c r="G471" t="s">
        <v>344</v>
      </c>
      <c r="H471" t="s">
        <v>444</v>
      </c>
      <c r="I471" t="s">
        <v>962</v>
      </c>
      <c r="J471" s="1">
        <v>45451</v>
      </c>
      <c r="K471" t="s">
        <v>1461</v>
      </c>
      <c r="L471" t="s">
        <v>1520</v>
      </c>
      <c r="M471">
        <v>62.42</v>
      </c>
      <c r="N471">
        <v>5</v>
      </c>
      <c r="O471" t="s">
        <v>1547</v>
      </c>
      <c r="P471">
        <v>2</v>
      </c>
      <c r="Q471">
        <v>47</v>
      </c>
      <c r="R471" s="1">
        <v>45453</v>
      </c>
      <c r="S471" t="s">
        <v>2010</v>
      </c>
      <c r="T471">
        <f t="shared" si="77"/>
        <v>2</v>
      </c>
      <c r="U471">
        <f t="shared" si="78"/>
        <v>312.10000000000002</v>
      </c>
      <c r="V471">
        <f t="shared" si="79"/>
        <v>312.10000000000002</v>
      </c>
      <c r="W471">
        <f t="shared" si="80"/>
        <v>0</v>
      </c>
      <c r="X471">
        <f t="shared" si="81"/>
        <v>0</v>
      </c>
      <c r="Y471">
        <f t="shared" si="82"/>
        <v>312.10000000000002</v>
      </c>
      <c r="Z471" t="str">
        <f t="shared" si="83"/>
        <v>Lauren Crane</v>
      </c>
      <c r="AA471" s="1" t="str">
        <f t="shared" si="84"/>
        <v>In Time</v>
      </c>
      <c r="AB471" t="str">
        <f t="shared" si="85"/>
        <v>Jun</v>
      </c>
      <c r="AC471" s="9">
        <f t="shared" si="86"/>
        <v>2024</v>
      </c>
      <c r="AD471" t="str">
        <f t="shared" si="87"/>
        <v>yahoo.com</v>
      </c>
    </row>
    <row r="472" spans="1:30" x14ac:dyDescent="0.3">
      <c r="A472" t="s">
        <v>86</v>
      </c>
      <c r="B472" t="s">
        <v>176</v>
      </c>
      <c r="C472" t="s">
        <v>263</v>
      </c>
      <c r="D472">
        <v>26</v>
      </c>
      <c r="E472" t="s">
        <v>290</v>
      </c>
      <c r="F472" t="s">
        <v>295</v>
      </c>
      <c r="G472" t="s">
        <v>367</v>
      </c>
      <c r="H472" t="s">
        <v>467</v>
      </c>
      <c r="I472" t="s">
        <v>969</v>
      </c>
      <c r="J472" s="1">
        <v>45362</v>
      </c>
      <c r="K472" t="s">
        <v>1468</v>
      </c>
      <c r="L472" t="s">
        <v>1532</v>
      </c>
      <c r="M472">
        <v>87.09</v>
      </c>
      <c r="N472">
        <v>4</v>
      </c>
      <c r="O472" t="s">
        <v>1549</v>
      </c>
      <c r="P472">
        <v>5</v>
      </c>
      <c r="Q472">
        <v>45</v>
      </c>
      <c r="R472" s="1">
        <v>45368</v>
      </c>
      <c r="S472" t="s">
        <v>2017</v>
      </c>
      <c r="T472">
        <f t="shared" si="77"/>
        <v>6</v>
      </c>
      <c r="U472">
        <f t="shared" si="78"/>
        <v>348.36</v>
      </c>
      <c r="V472">
        <f t="shared" si="79"/>
        <v>393.36</v>
      </c>
      <c r="W472">
        <f t="shared" si="80"/>
        <v>0.1</v>
      </c>
      <c r="X472">
        <f t="shared" si="81"/>
        <v>34.836000000000006</v>
      </c>
      <c r="Y472">
        <f t="shared" si="82"/>
        <v>358.524</v>
      </c>
      <c r="Z472" t="str">
        <f t="shared" si="83"/>
        <v>Gregory Lee</v>
      </c>
      <c r="AA472" s="1" t="str">
        <f t="shared" si="84"/>
        <v>Late</v>
      </c>
      <c r="AB472" t="str">
        <f t="shared" si="85"/>
        <v>Mar</v>
      </c>
      <c r="AC472" s="9">
        <f t="shared" si="86"/>
        <v>2024</v>
      </c>
      <c r="AD472" t="str">
        <f t="shared" si="87"/>
        <v>rediffmail.com</v>
      </c>
    </row>
    <row r="473" spans="1:30" x14ac:dyDescent="0.3">
      <c r="A473" t="s">
        <v>48</v>
      </c>
      <c r="B473" t="s">
        <v>146</v>
      </c>
      <c r="C473" t="s">
        <v>229</v>
      </c>
      <c r="D473">
        <v>48</v>
      </c>
      <c r="E473" t="s">
        <v>289</v>
      </c>
      <c r="F473" t="s">
        <v>296</v>
      </c>
      <c r="G473" t="s">
        <v>329</v>
      </c>
      <c r="H473" t="s">
        <v>429</v>
      </c>
      <c r="I473" t="s">
        <v>970</v>
      </c>
      <c r="J473" s="1">
        <v>45283</v>
      </c>
      <c r="K473" t="s">
        <v>1469</v>
      </c>
      <c r="L473" t="s">
        <v>1527</v>
      </c>
      <c r="M473">
        <v>77.84</v>
      </c>
      <c r="N473">
        <v>4</v>
      </c>
      <c r="O473" t="s">
        <v>1550</v>
      </c>
      <c r="P473">
        <v>5</v>
      </c>
      <c r="Q473">
        <v>55</v>
      </c>
      <c r="R473" s="1">
        <v>45286</v>
      </c>
      <c r="S473" t="s">
        <v>2018</v>
      </c>
      <c r="T473">
        <f t="shared" si="77"/>
        <v>3</v>
      </c>
      <c r="U473">
        <f t="shared" si="78"/>
        <v>311.36</v>
      </c>
      <c r="V473">
        <f t="shared" si="79"/>
        <v>366.36</v>
      </c>
      <c r="W473">
        <f t="shared" si="80"/>
        <v>0.2</v>
      </c>
      <c r="X473">
        <f t="shared" si="81"/>
        <v>62.272000000000006</v>
      </c>
      <c r="Y473">
        <f t="shared" si="82"/>
        <v>304.08800000000002</v>
      </c>
      <c r="Z473" t="str">
        <f t="shared" si="83"/>
        <v>Heather Schneider</v>
      </c>
      <c r="AA473" s="1" t="str">
        <f t="shared" si="84"/>
        <v>Before Time</v>
      </c>
      <c r="AB473" t="str">
        <f t="shared" si="85"/>
        <v>Dec</v>
      </c>
      <c r="AC473" s="9">
        <f t="shared" si="86"/>
        <v>2023</v>
      </c>
      <c r="AD473" t="str">
        <f t="shared" si="87"/>
        <v>outlook.com</v>
      </c>
    </row>
    <row r="474" spans="1:30" x14ac:dyDescent="0.3">
      <c r="A474" t="s">
        <v>117</v>
      </c>
      <c r="B474" t="s">
        <v>199</v>
      </c>
      <c r="C474" t="s">
        <v>287</v>
      </c>
      <c r="D474">
        <v>43</v>
      </c>
      <c r="E474" t="s">
        <v>288</v>
      </c>
      <c r="F474" t="s">
        <v>292</v>
      </c>
      <c r="G474" t="s">
        <v>398</v>
      </c>
      <c r="H474" t="s">
        <v>498</v>
      </c>
      <c r="I474" t="s">
        <v>971</v>
      </c>
      <c r="J474" s="1">
        <v>45012</v>
      </c>
      <c r="K474" t="s">
        <v>1470</v>
      </c>
      <c r="L474" t="s">
        <v>1527</v>
      </c>
      <c r="M474">
        <v>77.84</v>
      </c>
      <c r="N474">
        <v>5</v>
      </c>
      <c r="O474" t="s">
        <v>1549</v>
      </c>
      <c r="P474">
        <v>2</v>
      </c>
      <c r="Q474">
        <v>53</v>
      </c>
      <c r="R474" s="1">
        <v>45017</v>
      </c>
      <c r="S474" t="s">
        <v>2019</v>
      </c>
      <c r="T474">
        <f t="shared" si="77"/>
        <v>5</v>
      </c>
      <c r="U474">
        <f t="shared" si="78"/>
        <v>389.20000000000005</v>
      </c>
      <c r="V474">
        <f t="shared" si="79"/>
        <v>442.20000000000005</v>
      </c>
      <c r="W474">
        <f t="shared" si="80"/>
        <v>0.1</v>
      </c>
      <c r="X474">
        <f t="shared" si="81"/>
        <v>38.920000000000009</v>
      </c>
      <c r="Y474">
        <f t="shared" si="82"/>
        <v>403.28000000000003</v>
      </c>
      <c r="Z474" t="str">
        <f t="shared" si="83"/>
        <v>Janice Gordon</v>
      </c>
      <c r="AA474" s="1" t="str">
        <f t="shared" si="84"/>
        <v>Late</v>
      </c>
      <c r="AB474" t="str">
        <f t="shared" si="85"/>
        <v>Mar</v>
      </c>
      <c r="AC474" s="9">
        <f t="shared" si="86"/>
        <v>2023</v>
      </c>
      <c r="AD474" t="str">
        <f t="shared" si="87"/>
        <v>yahoo.com</v>
      </c>
    </row>
    <row r="475" spans="1:30" x14ac:dyDescent="0.3">
      <c r="A475" t="s">
        <v>66</v>
      </c>
      <c r="B475" t="s">
        <v>127</v>
      </c>
      <c r="C475" t="s">
        <v>247</v>
      </c>
      <c r="D475">
        <v>33</v>
      </c>
      <c r="E475" t="s">
        <v>288</v>
      </c>
      <c r="F475" t="s">
        <v>297</v>
      </c>
      <c r="G475" t="s">
        <v>347</v>
      </c>
      <c r="H475" t="s">
        <v>447</v>
      </c>
      <c r="I475" t="s">
        <v>972</v>
      </c>
      <c r="J475" s="1">
        <v>45528</v>
      </c>
      <c r="K475" t="s">
        <v>1471</v>
      </c>
      <c r="L475" t="s">
        <v>1515</v>
      </c>
      <c r="M475">
        <v>132.97</v>
      </c>
      <c r="N475">
        <v>4</v>
      </c>
      <c r="O475" t="s">
        <v>1547</v>
      </c>
      <c r="P475">
        <v>6</v>
      </c>
      <c r="Q475">
        <v>63</v>
      </c>
      <c r="R475" s="1">
        <v>45535</v>
      </c>
      <c r="S475" t="s">
        <v>2020</v>
      </c>
      <c r="T475">
        <f t="shared" si="77"/>
        <v>7</v>
      </c>
      <c r="U475">
        <f t="shared" si="78"/>
        <v>531.88</v>
      </c>
      <c r="V475">
        <f t="shared" si="79"/>
        <v>531.88</v>
      </c>
      <c r="W475">
        <f t="shared" si="80"/>
        <v>0</v>
      </c>
      <c r="X475">
        <f t="shared" si="81"/>
        <v>0</v>
      </c>
      <c r="Y475">
        <f t="shared" si="82"/>
        <v>531.88</v>
      </c>
      <c r="Z475" t="str">
        <f t="shared" si="83"/>
        <v>Debra Hayes</v>
      </c>
      <c r="AA475" s="1" t="str">
        <f t="shared" si="84"/>
        <v>Late</v>
      </c>
      <c r="AB475" t="str">
        <f t="shared" si="85"/>
        <v>Aug</v>
      </c>
      <c r="AC475" s="9">
        <f t="shared" si="86"/>
        <v>2024</v>
      </c>
      <c r="AD475" t="str">
        <f t="shared" si="87"/>
        <v>yahoo.com</v>
      </c>
    </row>
    <row r="476" spans="1:30" x14ac:dyDescent="0.3">
      <c r="A476" t="s">
        <v>41</v>
      </c>
      <c r="B476" t="s">
        <v>122</v>
      </c>
      <c r="C476" t="s">
        <v>222</v>
      </c>
      <c r="D476">
        <v>52</v>
      </c>
      <c r="E476" t="s">
        <v>290</v>
      </c>
      <c r="F476" t="s">
        <v>292</v>
      </c>
      <c r="G476" t="s">
        <v>322</v>
      </c>
      <c r="H476" t="s">
        <v>422</v>
      </c>
      <c r="I476" t="s">
        <v>973</v>
      </c>
      <c r="J476" s="1">
        <v>45354</v>
      </c>
      <c r="K476" t="s">
        <v>1472</v>
      </c>
      <c r="L476" t="s">
        <v>1514</v>
      </c>
      <c r="M476">
        <v>461.07</v>
      </c>
      <c r="N476">
        <v>3</v>
      </c>
      <c r="O476" t="s">
        <v>1548</v>
      </c>
      <c r="P476">
        <v>4</v>
      </c>
      <c r="Q476">
        <v>54</v>
      </c>
      <c r="R476" s="1">
        <v>45357</v>
      </c>
      <c r="S476" t="s">
        <v>2021</v>
      </c>
      <c r="T476">
        <f t="shared" si="77"/>
        <v>3</v>
      </c>
      <c r="U476">
        <f t="shared" si="78"/>
        <v>1383.21</v>
      </c>
      <c r="V476">
        <f t="shared" si="79"/>
        <v>1437.21</v>
      </c>
      <c r="W476">
        <f t="shared" si="80"/>
        <v>0.15</v>
      </c>
      <c r="X476">
        <f t="shared" si="81"/>
        <v>207.48150000000001</v>
      </c>
      <c r="Y476">
        <f t="shared" si="82"/>
        <v>1229.7284999999999</v>
      </c>
      <c r="Z476" t="str">
        <f t="shared" si="83"/>
        <v>Angela Evans</v>
      </c>
      <c r="AA476" s="1" t="str">
        <f t="shared" si="84"/>
        <v>Before Time</v>
      </c>
      <c r="AB476" t="str">
        <f t="shared" si="85"/>
        <v>Mar</v>
      </c>
      <c r="AC476" s="9">
        <f t="shared" si="86"/>
        <v>2024</v>
      </c>
      <c r="AD476" t="str">
        <f t="shared" si="87"/>
        <v>outlook.com</v>
      </c>
    </row>
    <row r="477" spans="1:30" x14ac:dyDescent="0.3">
      <c r="A477" t="s">
        <v>81</v>
      </c>
      <c r="B477" t="s">
        <v>171</v>
      </c>
      <c r="C477" t="s">
        <v>258</v>
      </c>
      <c r="D477">
        <v>45</v>
      </c>
      <c r="E477" t="s">
        <v>290</v>
      </c>
      <c r="F477" t="s">
        <v>296</v>
      </c>
      <c r="G477" t="s">
        <v>362</v>
      </c>
      <c r="H477" t="s">
        <v>462</v>
      </c>
      <c r="I477" t="s">
        <v>974</v>
      </c>
      <c r="J477" s="1">
        <v>45327</v>
      </c>
      <c r="K477" t="s">
        <v>1473</v>
      </c>
      <c r="L477" t="s">
        <v>1498</v>
      </c>
      <c r="M477">
        <v>166.28</v>
      </c>
      <c r="N477">
        <v>1</v>
      </c>
      <c r="O477" t="s">
        <v>1547</v>
      </c>
      <c r="P477">
        <v>2</v>
      </c>
      <c r="Q477">
        <v>38</v>
      </c>
      <c r="R477" s="1">
        <v>45328</v>
      </c>
      <c r="S477" t="s">
        <v>2022</v>
      </c>
      <c r="T477">
        <f t="shared" si="77"/>
        <v>1</v>
      </c>
      <c r="U477">
        <f t="shared" si="78"/>
        <v>166.28</v>
      </c>
      <c r="V477">
        <f t="shared" si="79"/>
        <v>166.28</v>
      </c>
      <c r="W477">
        <f t="shared" si="80"/>
        <v>0</v>
      </c>
      <c r="X477">
        <f t="shared" si="81"/>
        <v>0</v>
      </c>
      <c r="Y477">
        <f t="shared" si="82"/>
        <v>166.28</v>
      </c>
      <c r="Z477" t="str">
        <f t="shared" si="83"/>
        <v>Beth Mason</v>
      </c>
      <c r="AA477" s="1" t="str">
        <f t="shared" si="84"/>
        <v>Before Time</v>
      </c>
      <c r="AB477" t="str">
        <f t="shared" si="85"/>
        <v>Feb</v>
      </c>
      <c r="AC477" s="9">
        <f t="shared" si="86"/>
        <v>2024</v>
      </c>
      <c r="AD477" t="str">
        <f t="shared" si="87"/>
        <v>outlook.com</v>
      </c>
    </row>
    <row r="478" spans="1:30" x14ac:dyDescent="0.3">
      <c r="A478" t="s">
        <v>93</v>
      </c>
      <c r="B478" t="s">
        <v>182</v>
      </c>
      <c r="C478" t="s">
        <v>269</v>
      </c>
      <c r="D478">
        <v>54</v>
      </c>
      <c r="E478" t="s">
        <v>289</v>
      </c>
      <c r="F478" t="s">
        <v>295</v>
      </c>
      <c r="G478" t="s">
        <v>374</v>
      </c>
      <c r="H478" t="s">
        <v>474</v>
      </c>
      <c r="I478" t="s">
        <v>730</v>
      </c>
      <c r="J478" s="1">
        <v>45353</v>
      </c>
      <c r="K478" t="s">
        <v>1230</v>
      </c>
      <c r="L478" t="s">
        <v>1535</v>
      </c>
      <c r="M478">
        <v>477.52</v>
      </c>
      <c r="N478">
        <v>4</v>
      </c>
      <c r="O478" t="s">
        <v>1549</v>
      </c>
      <c r="P478">
        <v>3</v>
      </c>
      <c r="Q478">
        <v>54</v>
      </c>
      <c r="R478" s="1">
        <v>45354</v>
      </c>
      <c r="S478" t="s">
        <v>1781</v>
      </c>
      <c r="T478">
        <f t="shared" si="77"/>
        <v>1</v>
      </c>
      <c r="U478">
        <f t="shared" si="78"/>
        <v>1910.08</v>
      </c>
      <c r="V478">
        <f t="shared" si="79"/>
        <v>1964.08</v>
      </c>
      <c r="W478">
        <f t="shared" si="80"/>
        <v>0.1</v>
      </c>
      <c r="X478">
        <f t="shared" si="81"/>
        <v>191.00800000000001</v>
      </c>
      <c r="Y478">
        <f t="shared" si="82"/>
        <v>1773.0719999999999</v>
      </c>
      <c r="Z478" t="str">
        <f t="shared" si="83"/>
        <v>Diana French</v>
      </c>
      <c r="AA478" s="1" t="str">
        <f t="shared" si="84"/>
        <v>Before Time</v>
      </c>
      <c r="AB478" t="str">
        <f t="shared" si="85"/>
        <v>Mar</v>
      </c>
      <c r="AC478" s="9">
        <f t="shared" si="86"/>
        <v>2024</v>
      </c>
      <c r="AD478" t="str">
        <f t="shared" si="87"/>
        <v>outlook.com</v>
      </c>
    </row>
    <row r="479" spans="1:30" x14ac:dyDescent="0.3">
      <c r="A479" t="s">
        <v>59</v>
      </c>
      <c r="B479" t="s">
        <v>156</v>
      </c>
      <c r="C479" t="s">
        <v>240</v>
      </c>
      <c r="D479">
        <v>70</v>
      </c>
      <c r="E479" t="s">
        <v>288</v>
      </c>
      <c r="F479" t="s">
        <v>291</v>
      </c>
      <c r="G479" t="s">
        <v>340</v>
      </c>
      <c r="H479" t="s">
        <v>440</v>
      </c>
      <c r="I479" t="s">
        <v>976</v>
      </c>
      <c r="J479" s="1">
        <v>45392</v>
      </c>
      <c r="K479" t="s">
        <v>1060</v>
      </c>
      <c r="L479" t="s">
        <v>1535</v>
      </c>
      <c r="M479">
        <v>477.52</v>
      </c>
      <c r="N479">
        <v>5</v>
      </c>
      <c r="O479" t="s">
        <v>1549</v>
      </c>
      <c r="P479">
        <v>7</v>
      </c>
      <c r="Q479">
        <v>53</v>
      </c>
      <c r="R479" s="1">
        <v>45394</v>
      </c>
      <c r="S479" t="s">
        <v>2024</v>
      </c>
      <c r="T479">
        <f t="shared" si="77"/>
        <v>2</v>
      </c>
      <c r="U479">
        <f t="shared" si="78"/>
        <v>2387.6</v>
      </c>
      <c r="V479">
        <f t="shared" si="79"/>
        <v>2440.6</v>
      </c>
      <c r="W479">
        <f t="shared" si="80"/>
        <v>0.1</v>
      </c>
      <c r="X479">
        <f t="shared" si="81"/>
        <v>238.76</v>
      </c>
      <c r="Y479">
        <f t="shared" si="82"/>
        <v>2201.84</v>
      </c>
      <c r="Z479" t="str">
        <f t="shared" si="83"/>
        <v>Alexandra Smith</v>
      </c>
      <c r="AA479" s="1" t="str">
        <f t="shared" si="84"/>
        <v>Before Time</v>
      </c>
      <c r="AB479" t="str">
        <f t="shared" si="85"/>
        <v>Apr</v>
      </c>
      <c r="AC479" s="9">
        <f t="shared" si="86"/>
        <v>2024</v>
      </c>
      <c r="AD479" t="str">
        <f t="shared" si="87"/>
        <v>rediffmail.com</v>
      </c>
    </row>
    <row r="480" spans="1:30" x14ac:dyDescent="0.3">
      <c r="A480" t="s">
        <v>117</v>
      </c>
      <c r="B480" t="s">
        <v>199</v>
      </c>
      <c r="C480" t="s">
        <v>287</v>
      </c>
      <c r="D480">
        <v>43</v>
      </c>
      <c r="E480" t="s">
        <v>288</v>
      </c>
      <c r="F480" t="s">
        <v>292</v>
      </c>
      <c r="G480" t="s">
        <v>398</v>
      </c>
      <c r="H480" t="s">
        <v>498</v>
      </c>
      <c r="I480" t="s">
        <v>977</v>
      </c>
      <c r="J480" s="1">
        <v>45259</v>
      </c>
      <c r="K480" t="s">
        <v>1475</v>
      </c>
      <c r="L480" t="s">
        <v>1522</v>
      </c>
      <c r="M480">
        <v>158.53</v>
      </c>
      <c r="N480">
        <v>2</v>
      </c>
      <c r="O480" t="s">
        <v>1547</v>
      </c>
      <c r="P480">
        <v>5</v>
      </c>
      <c r="Q480">
        <v>69</v>
      </c>
      <c r="R480" s="1">
        <v>45261</v>
      </c>
      <c r="S480" t="s">
        <v>2025</v>
      </c>
      <c r="T480">
        <f t="shared" si="77"/>
        <v>2</v>
      </c>
      <c r="U480">
        <f t="shared" si="78"/>
        <v>317.06</v>
      </c>
      <c r="V480">
        <f t="shared" si="79"/>
        <v>317.06</v>
      </c>
      <c r="W480">
        <f t="shared" si="80"/>
        <v>0</v>
      </c>
      <c r="X480">
        <f t="shared" si="81"/>
        <v>0</v>
      </c>
      <c r="Y480">
        <f t="shared" si="82"/>
        <v>317.06</v>
      </c>
      <c r="Z480" t="str">
        <f t="shared" si="83"/>
        <v>Janice Gordon</v>
      </c>
      <c r="AA480" s="1" t="str">
        <f t="shared" si="84"/>
        <v>Before Time</v>
      </c>
      <c r="AB480" t="str">
        <f t="shared" si="85"/>
        <v>Nov</v>
      </c>
      <c r="AC480" s="9">
        <f t="shared" si="86"/>
        <v>2023</v>
      </c>
      <c r="AD480" t="str">
        <f t="shared" si="87"/>
        <v>yahoo.com</v>
      </c>
    </row>
    <row r="481" spans="1:30" x14ac:dyDescent="0.3">
      <c r="A481" t="s">
        <v>37</v>
      </c>
      <c r="B481" t="s">
        <v>137</v>
      </c>
      <c r="C481" t="s">
        <v>218</v>
      </c>
      <c r="D481">
        <v>23</v>
      </c>
      <c r="E481" t="s">
        <v>288</v>
      </c>
      <c r="F481" t="s">
        <v>296</v>
      </c>
      <c r="G481" t="s">
        <v>318</v>
      </c>
      <c r="H481" t="s">
        <v>418</v>
      </c>
      <c r="I481" t="s">
        <v>978</v>
      </c>
      <c r="J481" s="1">
        <v>45373</v>
      </c>
      <c r="K481" t="s">
        <v>1476</v>
      </c>
      <c r="L481" t="s">
        <v>1526</v>
      </c>
      <c r="M481">
        <v>405</v>
      </c>
      <c r="N481">
        <v>3</v>
      </c>
      <c r="O481" t="s">
        <v>1549</v>
      </c>
      <c r="P481">
        <v>5</v>
      </c>
      <c r="Q481">
        <v>54</v>
      </c>
      <c r="R481" s="1">
        <v>45379</v>
      </c>
      <c r="S481" t="s">
        <v>2026</v>
      </c>
      <c r="T481">
        <f t="shared" si="77"/>
        <v>6</v>
      </c>
      <c r="U481">
        <f t="shared" si="78"/>
        <v>1215</v>
      </c>
      <c r="V481">
        <f t="shared" si="79"/>
        <v>1269</v>
      </c>
      <c r="W481">
        <f t="shared" si="80"/>
        <v>0.1</v>
      </c>
      <c r="X481">
        <f t="shared" si="81"/>
        <v>121.5</v>
      </c>
      <c r="Y481">
        <f t="shared" si="82"/>
        <v>1147.5</v>
      </c>
      <c r="Z481" t="str">
        <f t="shared" si="83"/>
        <v>Deborah Bates</v>
      </c>
      <c r="AA481" s="1" t="str">
        <f t="shared" si="84"/>
        <v>Late</v>
      </c>
      <c r="AB481" t="str">
        <f t="shared" si="85"/>
        <v>Mar</v>
      </c>
      <c r="AC481" s="9">
        <f t="shared" si="86"/>
        <v>2024</v>
      </c>
      <c r="AD481" t="str">
        <f t="shared" si="87"/>
        <v>yahoo.com</v>
      </c>
    </row>
    <row r="482" spans="1:30" x14ac:dyDescent="0.3">
      <c r="A482" t="s">
        <v>65</v>
      </c>
      <c r="B482" t="s">
        <v>160</v>
      </c>
      <c r="C482" t="s">
        <v>246</v>
      </c>
      <c r="D482">
        <v>18</v>
      </c>
      <c r="E482" t="s">
        <v>289</v>
      </c>
      <c r="F482" t="s">
        <v>292</v>
      </c>
      <c r="G482" t="s">
        <v>346</v>
      </c>
      <c r="H482" t="s">
        <v>446</v>
      </c>
      <c r="I482" t="s">
        <v>979</v>
      </c>
      <c r="J482" s="1">
        <v>45380</v>
      </c>
      <c r="K482" t="s">
        <v>1477</v>
      </c>
      <c r="L482" t="s">
        <v>1544</v>
      </c>
      <c r="M482">
        <v>107.47</v>
      </c>
      <c r="N482">
        <v>4</v>
      </c>
      <c r="O482" t="s">
        <v>1549</v>
      </c>
      <c r="P482">
        <v>3</v>
      </c>
      <c r="Q482">
        <v>65</v>
      </c>
      <c r="R482" s="1">
        <v>45385</v>
      </c>
      <c r="S482" t="s">
        <v>2027</v>
      </c>
      <c r="T482">
        <f t="shared" si="77"/>
        <v>5</v>
      </c>
      <c r="U482">
        <f t="shared" si="78"/>
        <v>429.88</v>
      </c>
      <c r="V482">
        <f t="shared" si="79"/>
        <v>494.88</v>
      </c>
      <c r="W482">
        <f t="shared" si="80"/>
        <v>0.1</v>
      </c>
      <c r="X482">
        <f t="shared" si="81"/>
        <v>42.988</v>
      </c>
      <c r="Y482">
        <f t="shared" si="82"/>
        <v>451.892</v>
      </c>
      <c r="Z482" t="str">
        <f t="shared" si="83"/>
        <v>Lori Cook</v>
      </c>
      <c r="AA482" s="1" t="str">
        <f t="shared" si="84"/>
        <v>Late</v>
      </c>
      <c r="AB482" t="str">
        <f t="shared" si="85"/>
        <v>Mar</v>
      </c>
      <c r="AC482" s="9">
        <f t="shared" si="86"/>
        <v>2024</v>
      </c>
      <c r="AD482" t="str">
        <f t="shared" si="87"/>
        <v>rediffmail.com</v>
      </c>
    </row>
    <row r="483" spans="1:30" x14ac:dyDescent="0.3">
      <c r="A483" t="s">
        <v>67</v>
      </c>
      <c r="B483" t="s">
        <v>161</v>
      </c>
      <c r="C483" t="s">
        <v>211</v>
      </c>
      <c r="D483">
        <v>68</v>
      </c>
      <c r="E483" t="s">
        <v>290</v>
      </c>
      <c r="F483" t="s">
        <v>298</v>
      </c>
      <c r="G483" t="s">
        <v>348</v>
      </c>
      <c r="H483" t="s">
        <v>448</v>
      </c>
      <c r="I483" t="s">
        <v>980</v>
      </c>
      <c r="J483" s="1">
        <v>45072</v>
      </c>
      <c r="K483" t="s">
        <v>1478</v>
      </c>
      <c r="L483" t="s">
        <v>1529</v>
      </c>
      <c r="M483">
        <v>128.13999999999999</v>
      </c>
      <c r="N483">
        <v>3</v>
      </c>
      <c r="O483" t="s">
        <v>1550</v>
      </c>
      <c r="P483">
        <v>2</v>
      </c>
      <c r="Q483">
        <v>59</v>
      </c>
      <c r="R483" s="1">
        <v>45076</v>
      </c>
      <c r="S483" t="s">
        <v>2028</v>
      </c>
      <c r="T483">
        <f t="shared" si="77"/>
        <v>4</v>
      </c>
      <c r="U483">
        <f t="shared" si="78"/>
        <v>384.41999999999996</v>
      </c>
      <c r="V483">
        <f t="shared" si="79"/>
        <v>443.41999999999996</v>
      </c>
      <c r="W483">
        <f t="shared" si="80"/>
        <v>0.2</v>
      </c>
      <c r="X483">
        <f t="shared" si="81"/>
        <v>76.884</v>
      </c>
      <c r="Y483">
        <f t="shared" si="82"/>
        <v>366.53599999999994</v>
      </c>
      <c r="Z483" t="str">
        <f t="shared" si="83"/>
        <v>Brittany Stewart</v>
      </c>
      <c r="AA483" s="1" t="str">
        <f t="shared" si="84"/>
        <v>Late</v>
      </c>
      <c r="AB483" t="str">
        <f t="shared" si="85"/>
        <v>May</v>
      </c>
      <c r="AC483" s="9">
        <f t="shared" si="86"/>
        <v>2023</v>
      </c>
      <c r="AD483" t="str">
        <f t="shared" si="87"/>
        <v>gmail.com</v>
      </c>
    </row>
    <row r="484" spans="1:30" x14ac:dyDescent="0.3">
      <c r="A484" t="s">
        <v>35</v>
      </c>
      <c r="B484" t="s">
        <v>135</v>
      </c>
      <c r="C484" t="s">
        <v>162</v>
      </c>
      <c r="D484">
        <v>42</v>
      </c>
      <c r="E484" t="s">
        <v>289</v>
      </c>
      <c r="F484" t="s">
        <v>297</v>
      </c>
      <c r="G484" t="s">
        <v>316</v>
      </c>
      <c r="H484" t="s">
        <v>416</v>
      </c>
      <c r="I484" t="s">
        <v>981</v>
      </c>
      <c r="J484" s="1">
        <v>45290</v>
      </c>
      <c r="K484" t="s">
        <v>1479</v>
      </c>
      <c r="L484" t="s">
        <v>1513</v>
      </c>
      <c r="M484">
        <v>20.7</v>
      </c>
      <c r="N484">
        <v>1</v>
      </c>
      <c r="O484" t="s">
        <v>1549</v>
      </c>
      <c r="P484">
        <v>5</v>
      </c>
      <c r="Q484">
        <v>55</v>
      </c>
      <c r="R484" s="1">
        <v>45291</v>
      </c>
      <c r="S484" t="s">
        <v>2029</v>
      </c>
      <c r="T484">
        <f t="shared" si="77"/>
        <v>1</v>
      </c>
      <c r="U484">
        <f t="shared" si="78"/>
        <v>20.7</v>
      </c>
      <c r="V484">
        <f t="shared" si="79"/>
        <v>75.7</v>
      </c>
      <c r="W484">
        <f t="shared" si="80"/>
        <v>0.1</v>
      </c>
      <c r="X484">
        <f t="shared" si="81"/>
        <v>2.0699999999999998</v>
      </c>
      <c r="Y484">
        <f t="shared" si="82"/>
        <v>73.63000000000001</v>
      </c>
      <c r="Z484" t="str">
        <f t="shared" si="83"/>
        <v>Mallory Mitchell</v>
      </c>
      <c r="AA484" s="1" t="str">
        <f t="shared" si="84"/>
        <v>Before Time</v>
      </c>
      <c r="AB484" t="str">
        <f t="shared" si="85"/>
        <v>Dec</v>
      </c>
      <c r="AC484" s="9">
        <f t="shared" si="86"/>
        <v>2023</v>
      </c>
      <c r="AD484" t="str">
        <f t="shared" si="87"/>
        <v>yahoo.com</v>
      </c>
    </row>
    <row r="485" spans="1:30" x14ac:dyDescent="0.3">
      <c r="A485" t="s">
        <v>35</v>
      </c>
      <c r="B485" t="s">
        <v>135</v>
      </c>
      <c r="C485" t="s">
        <v>162</v>
      </c>
      <c r="D485">
        <v>42</v>
      </c>
      <c r="E485" t="s">
        <v>289</v>
      </c>
      <c r="F485" t="s">
        <v>297</v>
      </c>
      <c r="G485" t="s">
        <v>316</v>
      </c>
      <c r="H485" t="s">
        <v>416</v>
      </c>
      <c r="I485" t="s">
        <v>982</v>
      </c>
      <c r="J485" s="1">
        <v>45128</v>
      </c>
      <c r="K485" t="s">
        <v>1480</v>
      </c>
      <c r="L485" t="s">
        <v>1520</v>
      </c>
      <c r="M485">
        <v>62.42</v>
      </c>
      <c r="N485">
        <v>3</v>
      </c>
      <c r="O485" t="s">
        <v>2047</v>
      </c>
      <c r="P485">
        <v>6</v>
      </c>
      <c r="Q485">
        <v>39</v>
      </c>
      <c r="R485" s="1">
        <v>45129</v>
      </c>
      <c r="S485" t="s">
        <v>2030</v>
      </c>
      <c r="T485">
        <f t="shared" si="77"/>
        <v>1</v>
      </c>
      <c r="U485">
        <f t="shared" si="78"/>
        <v>187.26</v>
      </c>
      <c r="V485">
        <f t="shared" si="79"/>
        <v>226.26</v>
      </c>
      <c r="W485">
        <f t="shared" si="80"/>
        <v>0.08</v>
      </c>
      <c r="X485">
        <f t="shared" si="81"/>
        <v>14.9808</v>
      </c>
      <c r="Y485">
        <f t="shared" si="82"/>
        <v>211.2792</v>
      </c>
      <c r="Z485" t="str">
        <f t="shared" si="83"/>
        <v>Mallory Mitchell</v>
      </c>
      <c r="AA485" s="1" t="str">
        <f t="shared" si="84"/>
        <v>Before Time</v>
      </c>
      <c r="AB485" t="str">
        <f t="shared" si="85"/>
        <v>Jul</v>
      </c>
      <c r="AC485" s="9">
        <f t="shared" si="86"/>
        <v>2023</v>
      </c>
      <c r="AD485" t="str">
        <f t="shared" si="87"/>
        <v>yahoo.com</v>
      </c>
    </row>
    <row r="486" spans="1:30" x14ac:dyDescent="0.3">
      <c r="A486" t="s">
        <v>36</v>
      </c>
      <c r="B486" t="s">
        <v>136</v>
      </c>
      <c r="C486" t="s">
        <v>217</v>
      </c>
      <c r="D486">
        <v>34</v>
      </c>
      <c r="E486" t="s">
        <v>288</v>
      </c>
      <c r="F486" t="s">
        <v>296</v>
      </c>
      <c r="G486" t="s">
        <v>317</v>
      </c>
      <c r="H486" t="s">
        <v>417</v>
      </c>
      <c r="I486" t="s">
        <v>983</v>
      </c>
      <c r="J486" s="1">
        <v>45283</v>
      </c>
      <c r="K486" t="s">
        <v>1481</v>
      </c>
      <c r="L486" t="s">
        <v>1525</v>
      </c>
      <c r="M486">
        <v>481.48</v>
      </c>
      <c r="N486">
        <v>1</v>
      </c>
      <c r="O486" t="s">
        <v>2047</v>
      </c>
      <c r="P486">
        <v>5</v>
      </c>
      <c r="Q486">
        <v>70</v>
      </c>
      <c r="R486" s="1">
        <v>45287</v>
      </c>
      <c r="S486" t="s">
        <v>2031</v>
      </c>
      <c r="T486">
        <f t="shared" si="77"/>
        <v>4</v>
      </c>
      <c r="U486">
        <f t="shared" si="78"/>
        <v>481.48</v>
      </c>
      <c r="V486">
        <f t="shared" si="79"/>
        <v>551.48</v>
      </c>
      <c r="W486">
        <f t="shared" si="80"/>
        <v>0.08</v>
      </c>
      <c r="X486">
        <f t="shared" si="81"/>
        <v>38.5184</v>
      </c>
      <c r="Y486">
        <f t="shared" si="82"/>
        <v>512.96159999999998</v>
      </c>
      <c r="Z486" t="str">
        <f t="shared" si="83"/>
        <v>Traci Jones</v>
      </c>
      <c r="AA486" s="1" t="str">
        <f t="shared" si="84"/>
        <v>Before Time</v>
      </c>
      <c r="AB486" t="str">
        <f t="shared" si="85"/>
        <v>Dec</v>
      </c>
      <c r="AC486" s="9">
        <f t="shared" si="86"/>
        <v>2023</v>
      </c>
      <c r="AD486" t="str">
        <f t="shared" si="87"/>
        <v>yahoo.com</v>
      </c>
    </row>
    <row r="487" spans="1:30" x14ac:dyDescent="0.3">
      <c r="A487" t="s">
        <v>51</v>
      </c>
      <c r="B487" t="s">
        <v>149</v>
      </c>
      <c r="C487" t="s">
        <v>232</v>
      </c>
      <c r="D487">
        <v>29</v>
      </c>
      <c r="E487" t="s">
        <v>290</v>
      </c>
      <c r="F487" t="s">
        <v>296</v>
      </c>
      <c r="G487" t="s">
        <v>332</v>
      </c>
      <c r="H487" t="s">
        <v>432</v>
      </c>
      <c r="I487" t="s">
        <v>984</v>
      </c>
      <c r="J487" s="1">
        <v>45633</v>
      </c>
      <c r="K487" t="s">
        <v>1482</v>
      </c>
      <c r="L487" t="s">
        <v>1497</v>
      </c>
      <c r="M487">
        <v>308.88</v>
      </c>
      <c r="N487">
        <v>3</v>
      </c>
      <c r="O487" t="s">
        <v>1550</v>
      </c>
      <c r="P487">
        <v>5</v>
      </c>
      <c r="Q487">
        <v>68</v>
      </c>
      <c r="R487" s="1">
        <v>45636</v>
      </c>
      <c r="S487" t="s">
        <v>2032</v>
      </c>
      <c r="T487">
        <f t="shared" si="77"/>
        <v>3</v>
      </c>
      <c r="U487">
        <f t="shared" si="78"/>
        <v>926.64</v>
      </c>
      <c r="V487">
        <f t="shared" si="79"/>
        <v>994.64</v>
      </c>
      <c r="W487">
        <f t="shared" si="80"/>
        <v>0.2</v>
      </c>
      <c r="X487">
        <f t="shared" si="81"/>
        <v>185.328</v>
      </c>
      <c r="Y487">
        <f t="shared" si="82"/>
        <v>809.31200000000001</v>
      </c>
      <c r="Z487" t="str">
        <f t="shared" si="83"/>
        <v>Courtney Parker</v>
      </c>
      <c r="AA487" s="1" t="str">
        <f t="shared" si="84"/>
        <v>Before Time</v>
      </c>
      <c r="AB487" t="str">
        <f t="shared" si="85"/>
        <v>Dec</v>
      </c>
      <c r="AC487" s="9">
        <f t="shared" si="86"/>
        <v>2024</v>
      </c>
      <c r="AD487" t="str">
        <f t="shared" si="87"/>
        <v>yahoo.com</v>
      </c>
    </row>
    <row r="488" spans="1:30" x14ac:dyDescent="0.3">
      <c r="A488" t="s">
        <v>20</v>
      </c>
      <c r="B488" t="s">
        <v>120</v>
      </c>
      <c r="C488" t="s">
        <v>202</v>
      </c>
      <c r="D488">
        <v>55</v>
      </c>
      <c r="E488" t="s">
        <v>289</v>
      </c>
      <c r="F488" t="s">
        <v>293</v>
      </c>
      <c r="G488" t="s">
        <v>301</v>
      </c>
      <c r="H488" t="s">
        <v>401</v>
      </c>
      <c r="I488" t="s">
        <v>985</v>
      </c>
      <c r="J488" s="1">
        <v>45356</v>
      </c>
      <c r="K488" t="s">
        <v>1483</v>
      </c>
      <c r="L488" t="s">
        <v>1505</v>
      </c>
      <c r="M488">
        <v>48.45</v>
      </c>
      <c r="N488">
        <v>3</v>
      </c>
      <c r="O488" t="s">
        <v>1550</v>
      </c>
      <c r="P488">
        <v>6</v>
      </c>
      <c r="Q488">
        <v>43</v>
      </c>
      <c r="R488" s="1">
        <v>45358</v>
      </c>
      <c r="S488" t="s">
        <v>2033</v>
      </c>
      <c r="T488">
        <f t="shared" si="77"/>
        <v>2</v>
      </c>
      <c r="U488">
        <f t="shared" si="78"/>
        <v>145.35000000000002</v>
      </c>
      <c r="V488">
        <f t="shared" si="79"/>
        <v>188.35000000000002</v>
      </c>
      <c r="W488">
        <f t="shared" si="80"/>
        <v>0.2</v>
      </c>
      <c r="X488">
        <f t="shared" si="81"/>
        <v>29.070000000000007</v>
      </c>
      <c r="Y488">
        <f t="shared" si="82"/>
        <v>159.28000000000003</v>
      </c>
      <c r="Z488" t="str">
        <f t="shared" si="83"/>
        <v>Hannah Gutierrez</v>
      </c>
      <c r="AA488" s="1" t="str">
        <f t="shared" si="84"/>
        <v>Before Time</v>
      </c>
      <c r="AB488" t="str">
        <f t="shared" si="85"/>
        <v>Mar</v>
      </c>
      <c r="AC488" s="9">
        <f t="shared" si="86"/>
        <v>2024</v>
      </c>
      <c r="AD488" t="str">
        <f t="shared" si="87"/>
        <v>yahoo.com</v>
      </c>
    </row>
    <row r="489" spans="1:30" x14ac:dyDescent="0.3">
      <c r="A489" t="s">
        <v>29</v>
      </c>
      <c r="B489" t="s">
        <v>129</v>
      </c>
      <c r="C489" t="s">
        <v>211</v>
      </c>
      <c r="D489">
        <v>30</v>
      </c>
      <c r="E489" t="s">
        <v>289</v>
      </c>
      <c r="F489" t="s">
        <v>292</v>
      </c>
      <c r="G489" t="s">
        <v>310</v>
      </c>
      <c r="H489" t="s">
        <v>410</v>
      </c>
      <c r="I489" t="s">
        <v>986</v>
      </c>
      <c r="J489" s="1">
        <v>45188</v>
      </c>
      <c r="K489" t="s">
        <v>1484</v>
      </c>
      <c r="L489" t="s">
        <v>1544</v>
      </c>
      <c r="M489">
        <v>107.47</v>
      </c>
      <c r="N489">
        <v>4</v>
      </c>
      <c r="O489" t="s">
        <v>2047</v>
      </c>
      <c r="P489">
        <v>2</v>
      </c>
      <c r="Q489">
        <v>35</v>
      </c>
      <c r="R489" s="1">
        <v>45191</v>
      </c>
      <c r="S489" t="s">
        <v>2034</v>
      </c>
      <c r="T489">
        <f t="shared" si="77"/>
        <v>3</v>
      </c>
      <c r="U489">
        <f t="shared" si="78"/>
        <v>429.88</v>
      </c>
      <c r="V489">
        <f t="shared" si="79"/>
        <v>464.88</v>
      </c>
      <c r="W489">
        <f t="shared" si="80"/>
        <v>0.08</v>
      </c>
      <c r="X489">
        <f t="shared" si="81"/>
        <v>34.3904</v>
      </c>
      <c r="Y489">
        <f t="shared" si="82"/>
        <v>430.4896</v>
      </c>
      <c r="Z489" t="str">
        <f t="shared" si="83"/>
        <v>Joseph Stewart</v>
      </c>
      <c r="AA489" s="1" t="str">
        <f t="shared" si="84"/>
        <v>Late</v>
      </c>
      <c r="AB489" t="str">
        <f t="shared" si="85"/>
        <v>Sep</v>
      </c>
      <c r="AC489" s="9">
        <f t="shared" si="86"/>
        <v>2023</v>
      </c>
      <c r="AD489" t="str">
        <f t="shared" si="87"/>
        <v>yahoo.com</v>
      </c>
    </row>
    <row r="490" spans="1:30" x14ac:dyDescent="0.3">
      <c r="A490" t="s">
        <v>57</v>
      </c>
      <c r="B490" t="s">
        <v>155</v>
      </c>
      <c r="C490" t="s">
        <v>238</v>
      </c>
      <c r="D490">
        <v>47</v>
      </c>
      <c r="E490" t="s">
        <v>289</v>
      </c>
      <c r="F490" t="s">
        <v>296</v>
      </c>
      <c r="G490" t="s">
        <v>338</v>
      </c>
      <c r="H490" t="s">
        <v>438</v>
      </c>
      <c r="I490" t="s">
        <v>987</v>
      </c>
      <c r="J490" s="1">
        <v>45681</v>
      </c>
      <c r="K490" t="s">
        <v>1485</v>
      </c>
      <c r="L490" t="s">
        <v>1499</v>
      </c>
      <c r="M490">
        <v>441.03</v>
      </c>
      <c r="N490">
        <v>5</v>
      </c>
      <c r="O490" t="s">
        <v>2047</v>
      </c>
      <c r="P490">
        <v>5</v>
      </c>
      <c r="Q490">
        <v>62</v>
      </c>
      <c r="R490" s="1">
        <v>45682</v>
      </c>
      <c r="S490" t="s">
        <v>2035</v>
      </c>
      <c r="T490">
        <f t="shared" si="77"/>
        <v>1</v>
      </c>
      <c r="U490">
        <f t="shared" si="78"/>
        <v>2205.1499999999996</v>
      </c>
      <c r="V490">
        <f t="shared" si="79"/>
        <v>2267.1499999999996</v>
      </c>
      <c r="W490">
        <f t="shared" si="80"/>
        <v>0.08</v>
      </c>
      <c r="X490">
        <f t="shared" si="81"/>
        <v>176.41199999999998</v>
      </c>
      <c r="Y490">
        <f t="shared" si="82"/>
        <v>2090.7379999999998</v>
      </c>
      <c r="Z490" t="str">
        <f t="shared" si="83"/>
        <v>Aaron Thompson</v>
      </c>
      <c r="AA490" s="1" t="str">
        <f t="shared" si="84"/>
        <v>Before Time</v>
      </c>
      <c r="AB490" t="str">
        <f t="shared" si="85"/>
        <v>Jan</v>
      </c>
      <c r="AC490" s="9">
        <f t="shared" si="86"/>
        <v>2025</v>
      </c>
      <c r="AD490" t="str">
        <f t="shared" si="87"/>
        <v>gmail.com</v>
      </c>
    </row>
    <row r="491" spans="1:30" x14ac:dyDescent="0.3">
      <c r="A491" t="s">
        <v>76</v>
      </c>
      <c r="B491" t="s">
        <v>142</v>
      </c>
      <c r="C491" t="s">
        <v>254</v>
      </c>
      <c r="D491">
        <v>35</v>
      </c>
      <c r="E491" t="s">
        <v>288</v>
      </c>
      <c r="F491" t="s">
        <v>291</v>
      </c>
      <c r="G491" t="s">
        <v>357</v>
      </c>
      <c r="H491" t="s">
        <v>457</v>
      </c>
      <c r="I491" t="s">
        <v>988</v>
      </c>
      <c r="J491" s="1">
        <v>45007</v>
      </c>
      <c r="K491" t="s">
        <v>1486</v>
      </c>
      <c r="L491" t="s">
        <v>1546</v>
      </c>
      <c r="M491">
        <v>33.49</v>
      </c>
      <c r="N491">
        <v>4</v>
      </c>
      <c r="O491" t="s">
        <v>1550</v>
      </c>
      <c r="P491">
        <v>7</v>
      </c>
      <c r="Q491">
        <v>54</v>
      </c>
      <c r="R491" s="1">
        <v>45008</v>
      </c>
      <c r="S491" t="s">
        <v>2036</v>
      </c>
      <c r="T491">
        <f t="shared" si="77"/>
        <v>1</v>
      </c>
      <c r="U491">
        <f t="shared" si="78"/>
        <v>133.96</v>
      </c>
      <c r="V491">
        <f t="shared" si="79"/>
        <v>187.96</v>
      </c>
      <c r="W491">
        <f t="shared" si="80"/>
        <v>0.2</v>
      </c>
      <c r="X491">
        <f t="shared" si="81"/>
        <v>26.792000000000002</v>
      </c>
      <c r="Y491">
        <f t="shared" si="82"/>
        <v>161.16800000000001</v>
      </c>
      <c r="Z491" t="str">
        <f t="shared" si="83"/>
        <v>Ashley Romero</v>
      </c>
      <c r="AA491" s="1" t="str">
        <f t="shared" si="84"/>
        <v>Before Time</v>
      </c>
      <c r="AB491" t="str">
        <f t="shared" si="85"/>
        <v>Mar</v>
      </c>
      <c r="AC491" s="9">
        <f t="shared" si="86"/>
        <v>2023</v>
      </c>
      <c r="AD491" t="str">
        <f t="shared" si="87"/>
        <v>yahoo.com</v>
      </c>
    </row>
    <row r="492" spans="1:30" x14ac:dyDescent="0.3">
      <c r="A492" t="s">
        <v>86</v>
      </c>
      <c r="B492" t="s">
        <v>176</v>
      </c>
      <c r="C492" t="s">
        <v>263</v>
      </c>
      <c r="D492">
        <v>26</v>
      </c>
      <c r="E492" t="s">
        <v>290</v>
      </c>
      <c r="F492" t="s">
        <v>295</v>
      </c>
      <c r="G492" t="s">
        <v>367</v>
      </c>
      <c r="H492" t="s">
        <v>467</v>
      </c>
      <c r="I492" t="s">
        <v>989</v>
      </c>
      <c r="J492" s="1">
        <v>45204</v>
      </c>
      <c r="K492" t="s">
        <v>1487</v>
      </c>
      <c r="L492" t="s">
        <v>1546</v>
      </c>
      <c r="M492">
        <v>33.49</v>
      </c>
      <c r="N492">
        <v>1</v>
      </c>
      <c r="O492" t="s">
        <v>1548</v>
      </c>
      <c r="P492">
        <v>4</v>
      </c>
      <c r="Q492">
        <v>44</v>
      </c>
      <c r="R492" s="1">
        <v>45206</v>
      </c>
      <c r="S492" t="s">
        <v>2037</v>
      </c>
      <c r="T492">
        <f t="shared" si="77"/>
        <v>2</v>
      </c>
      <c r="U492">
        <f t="shared" si="78"/>
        <v>33.49</v>
      </c>
      <c r="V492">
        <f t="shared" si="79"/>
        <v>77.490000000000009</v>
      </c>
      <c r="W492">
        <f t="shared" si="80"/>
        <v>0.15</v>
      </c>
      <c r="X492">
        <f t="shared" si="81"/>
        <v>5.0235000000000003</v>
      </c>
      <c r="Y492">
        <f t="shared" si="82"/>
        <v>72.466500000000011</v>
      </c>
      <c r="Z492" t="str">
        <f t="shared" si="83"/>
        <v>Gregory Lee</v>
      </c>
      <c r="AA492" s="1" t="str">
        <f t="shared" si="84"/>
        <v>Before Time</v>
      </c>
      <c r="AB492" t="str">
        <f t="shared" si="85"/>
        <v>Oct</v>
      </c>
      <c r="AC492" s="9">
        <f t="shared" si="86"/>
        <v>2023</v>
      </c>
      <c r="AD492" t="str">
        <f t="shared" si="87"/>
        <v>rediffmail.com</v>
      </c>
    </row>
    <row r="493" spans="1:30" x14ac:dyDescent="0.3">
      <c r="A493" t="s">
        <v>67</v>
      </c>
      <c r="B493" t="s">
        <v>161</v>
      </c>
      <c r="C493" t="s">
        <v>211</v>
      </c>
      <c r="D493">
        <v>68</v>
      </c>
      <c r="E493" t="s">
        <v>290</v>
      </c>
      <c r="F493" t="s">
        <v>298</v>
      </c>
      <c r="G493" t="s">
        <v>348</v>
      </c>
      <c r="H493" t="s">
        <v>448</v>
      </c>
      <c r="I493" t="s">
        <v>990</v>
      </c>
      <c r="J493" s="1">
        <v>45590</v>
      </c>
      <c r="K493" t="s">
        <v>1488</v>
      </c>
      <c r="L493" t="s">
        <v>1520</v>
      </c>
      <c r="M493">
        <v>62.42</v>
      </c>
      <c r="N493">
        <v>4</v>
      </c>
      <c r="O493" t="s">
        <v>1547</v>
      </c>
      <c r="P493">
        <v>4</v>
      </c>
      <c r="Q493">
        <v>37</v>
      </c>
      <c r="R493" s="1">
        <v>45597</v>
      </c>
      <c r="S493" t="s">
        <v>2038</v>
      </c>
      <c r="T493">
        <f t="shared" si="77"/>
        <v>7</v>
      </c>
      <c r="U493">
        <f t="shared" si="78"/>
        <v>249.68</v>
      </c>
      <c r="V493">
        <f t="shared" si="79"/>
        <v>249.68</v>
      </c>
      <c r="W493">
        <f t="shared" si="80"/>
        <v>0</v>
      </c>
      <c r="X493">
        <f t="shared" si="81"/>
        <v>0</v>
      </c>
      <c r="Y493">
        <f t="shared" si="82"/>
        <v>249.68</v>
      </c>
      <c r="Z493" t="str">
        <f t="shared" si="83"/>
        <v>Brittany Stewart</v>
      </c>
      <c r="AA493" s="1" t="str">
        <f t="shared" si="84"/>
        <v>Late</v>
      </c>
      <c r="AB493" t="str">
        <f t="shared" si="85"/>
        <v>Oct</v>
      </c>
      <c r="AC493" s="9">
        <f t="shared" si="86"/>
        <v>2024</v>
      </c>
      <c r="AD493" t="str">
        <f t="shared" si="87"/>
        <v>gmail.com</v>
      </c>
    </row>
    <row r="494" spans="1:30" x14ac:dyDescent="0.3">
      <c r="A494" t="s">
        <v>54</v>
      </c>
      <c r="B494" t="s">
        <v>152</v>
      </c>
      <c r="C494" t="s">
        <v>235</v>
      </c>
      <c r="D494">
        <v>32</v>
      </c>
      <c r="E494" t="s">
        <v>289</v>
      </c>
      <c r="F494" t="s">
        <v>297</v>
      </c>
      <c r="G494" t="s">
        <v>335</v>
      </c>
      <c r="H494" t="s">
        <v>435</v>
      </c>
      <c r="I494" t="s">
        <v>991</v>
      </c>
      <c r="J494" s="1">
        <v>45217</v>
      </c>
      <c r="K494" t="s">
        <v>1489</v>
      </c>
      <c r="L494" t="s">
        <v>1523</v>
      </c>
      <c r="M494">
        <v>129.75</v>
      </c>
      <c r="N494">
        <v>1</v>
      </c>
      <c r="O494" t="s">
        <v>2047</v>
      </c>
      <c r="P494">
        <v>7</v>
      </c>
      <c r="Q494">
        <v>56</v>
      </c>
      <c r="R494" s="1">
        <v>45219</v>
      </c>
      <c r="S494" t="s">
        <v>2039</v>
      </c>
      <c r="T494">
        <f t="shared" si="77"/>
        <v>2</v>
      </c>
      <c r="U494">
        <f t="shared" si="78"/>
        <v>129.75</v>
      </c>
      <c r="V494">
        <f t="shared" si="79"/>
        <v>185.75</v>
      </c>
      <c r="W494">
        <f t="shared" si="80"/>
        <v>0.08</v>
      </c>
      <c r="X494">
        <f t="shared" si="81"/>
        <v>10.38</v>
      </c>
      <c r="Y494">
        <f t="shared" si="82"/>
        <v>175.37</v>
      </c>
      <c r="Z494" t="str">
        <f t="shared" si="83"/>
        <v>Robert Castillo</v>
      </c>
      <c r="AA494" s="1" t="str">
        <f t="shared" si="84"/>
        <v>Before Time</v>
      </c>
      <c r="AB494" t="str">
        <f t="shared" si="85"/>
        <v>Oct</v>
      </c>
      <c r="AC494" s="9">
        <f t="shared" si="86"/>
        <v>2023</v>
      </c>
      <c r="AD494" t="str">
        <f t="shared" si="87"/>
        <v>gmail.com</v>
      </c>
    </row>
    <row r="495" spans="1:30" x14ac:dyDescent="0.3">
      <c r="A495" t="s">
        <v>34</v>
      </c>
      <c r="B495" t="s">
        <v>134</v>
      </c>
      <c r="C495" t="s">
        <v>216</v>
      </c>
      <c r="D495">
        <v>36</v>
      </c>
      <c r="E495" t="s">
        <v>290</v>
      </c>
      <c r="F495" t="s">
        <v>294</v>
      </c>
      <c r="G495" t="s">
        <v>315</v>
      </c>
      <c r="H495" t="s">
        <v>415</v>
      </c>
      <c r="I495" t="s">
        <v>992</v>
      </c>
      <c r="J495" s="1">
        <v>45182</v>
      </c>
      <c r="K495" t="s">
        <v>1490</v>
      </c>
      <c r="L495" t="s">
        <v>1513</v>
      </c>
      <c r="M495">
        <v>20.7</v>
      </c>
      <c r="N495">
        <v>4</v>
      </c>
      <c r="O495" t="s">
        <v>1550</v>
      </c>
      <c r="P495">
        <v>1</v>
      </c>
      <c r="Q495">
        <v>61</v>
      </c>
      <c r="R495" s="1">
        <v>45184</v>
      </c>
      <c r="S495" t="s">
        <v>2040</v>
      </c>
      <c r="T495">
        <f t="shared" si="77"/>
        <v>2</v>
      </c>
      <c r="U495">
        <f t="shared" si="78"/>
        <v>82.8</v>
      </c>
      <c r="V495">
        <f t="shared" si="79"/>
        <v>143.80000000000001</v>
      </c>
      <c r="W495">
        <f t="shared" si="80"/>
        <v>0.2</v>
      </c>
      <c r="X495">
        <f t="shared" si="81"/>
        <v>16.559999999999999</v>
      </c>
      <c r="Y495">
        <f t="shared" si="82"/>
        <v>127.24000000000001</v>
      </c>
      <c r="Z495" t="str">
        <f t="shared" si="83"/>
        <v>Gina Moreno</v>
      </c>
      <c r="AA495" s="1" t="str">
        <f t="shared" si="84"/>
        <v>Late</v>
      </c>
      <c r="AB495" t="str">
        <f t="shared" si="85"/>
        <v>Sep</v>
      </c>
      <c r="AC495" s="9">
        <f t="shared" si="86"/>
        <v>2023</v>
      </c>
      <c r="AD495" t="str">
        <f t="shared" si="87"/>
        <v>rediffmail.com</v>
      </c>
    </row>
    <row r="496" spans="1:30" x14ac:dyDescent="0.3">
      <c r="A496" t="s">
        <v>30</v>
      </c>
      <c r="B496" t="s">
        <v>130</v>
      </c>
      <c r="C496" t="s">
        <v>212</v>
      </c>
      <c r="D496">
        <v>25</v>
      </c>
      <c r="E496" t="s">
        <v>290</v>
      </c>
      <c r="F496" t="s">
        <v>294</v>
      </c>
      <c r="G496" t="s">
        <v>311</v>
      </c>
      <c r="H496" t="s">
        <v>411</v>
      </c>
      <c r="I496" t="s">
        <v>993</v>
      </c>
      <c r="J496" s="1">
        <v>45107</v>
      </c>
      <c r="K496" t="s">
        <v>1491</v>
      </c>
      <c r="L496" t="s">
        <v>1510</v>
      </c>
      <c r="M496">
        <v>220.27</v>
      </c>
      <c r="N496">
        <v>3</v>
      </c>
      <c r="O496" t="s">
        <v>1547</v>
      </c>
      <c r="P496">
        <v>4</v>
      </c>
      <c r="Q496">
        <v>50</v>
      </c>
      <c r="R496" s="1">
        <v>45108</v>
      </c>
      <c r="S496" t="s">
        <v>2041</v>
      </c>
      <c r="T496">
        <f t="shared" si="77"/>
        <v>1</v>
      </c>
      <c r="U496">
        <f t="shared" si="78"/>
        <v>660.81000000000006</v>
      </c>
      <c r="V496">
        <f t="shared" si="79"/>
        <v>660.81000000000006</v>
      </c>
      <c r="W496">
        <f t="shared" si="80"/>
        <v>0</v>
      </c>
      <c r="X496">
        <f t="shared" si="81"/>
        <v>0</v>
      </c>
      <c r="Y496">
        <f t="shared" si="82"/>
        <v>660.81000000000006</v>
      </c>
      <c r="Z496" t="str">
        <f t="shared" si="83"/>
        <v>Kara Brennan</v>
      </c>
      <c r="AA496" s="1" t="str">
        <f t="shared" si="84"/>
        <v>Before Time</v>
      </c>
      <c r="AB496" t="str">
        <f t="shared" si="85"/>
        <v>Jun</v>
      </c>
      <c r="AC496" s="9">
        <f t="shared" si="86"/>
        <v>2023</v>
      </c>
      <c r="AD496" t="str">
        <f t="shared" si="87"/>
        <v>outlook.com</v>
      </c>
    </row>
    <row r="497" spans="1:30" x14ac:dyDescent="0.3">
      <c r="A497" t="s">
        <v>39</v>
      </c>
      <c r="B497" t="s">
        <v>139</v>
      </c>
      <c r="C497" t="s">
        <v>220</v>
      </c>
      <c r="D497">
        <v>33</v>
      </c>
      <c r="E497" t="s">
        <v>290</v>
      </c>
      <c r="F497" t="s">
        <v>298</v>
      </c>
      <c r="G497" t="s">
        <v>320</v>
      </c>
      <c r="H497" t="s">
        <v>420</v>
      </c>
      <c r="I497" t="s">
        <v>994</v>
      </c>
      <c r="J497" s="1">
        <v>45032</v>
      </c>
      <c r="K497" t="s">
        <v>1492</v>
      </c>
      <c r="L497" t="s">
        <v>1538</v>
      </c>
      <c r="M497">
        <v>433.62</v>
      </c>
      <c r="N497">
        <v>2</v>
      </c>
      <c r="O497" t="s">
        <v>2047</v>
      </c>
      <c r="P497">
        <v>7</v>
      </c>
      <c r="Q497">
        <v>56</v>
      </c>
      <c r="R497" s="1">
        <v>45039</v>
      </c>
      <c r="S497" t="s">
        <v>2042</v>
      </c>
      <c r="T497">
        <f t="shared" si="77"/>
        <v>7</v>
      </c>
      <c r="U497">
        <f t="shared" si="78"/>
        <v>867.24</v>
      </c>
      <c r="V497">
        <f t="shared" si="79"/>
        <v>923.24</v>
      </c>
      <c r="W497">
        <f t="shared" si="80"/>
        <v>0.08</v>
      </c>
      <c r="X497">
        <f t="shared" si="81"/>
        <v>69.379199999999997</v>
      </c>
      <c r="Y497">
        <f t="shared" si="82"/>
        <v>853.86080000000004</v>
      </c>
      <c r="Z497" t="str">
        <f t="shared" si="83"/>
        <v>Mark Henderson</v>
      </c>
      <c r="AA497" s="1" t="str">
        <f t="shared" si="84"/>
        <v>In Time</v>
      </c>
      <c r="AB497" t="str">
        <f t="shared" si="85"/>
        <v>Apr</v>
      </c>
      <c r="AC497" s="9">
        <f t="shared" si="86"/>
        <v>2023</v>
      </c>
      <c r="AD497" t="str">
        <f t="shared" si="87"/>
        <v>yahoo.com</v>
      </c>
    </row>
    <row r="498" spans="1:30" x14ac:dyDescent="0.3">
      <c r="A498" t="s">
        <v>98</v>
      </c>
      <c r="B498" t="s">
        <v>187</v>
      </c>
      <c r="C498" t="s">
        <v>236</v>
      </c>
      <c r="D498">
        <v>34</v>
      </c>
      <c r="E498" t="s">
        <v>290</v>
      </c>
      <c r="F498" t="s">
        <v>293</v>
      </c>
      <c r="G498" t="s">
        <v>379</v>
      </c>
      <c r="H498" t="s">
        <v>479</v>
      </c>
      <c r="I498" t="s">
        <v>714</v>
      </c>
      <c r="J498" s="1">
        <v>45490</v>
      </c>
      <c r="K498" t="s">
        <v>1214</v>
      </c>
      <c r="L498" t="s">
        <v>1529</v>
      </c>
      <c r="M498">
        <v>128.13999999999999</v>
      </c>
      <c r="N498">
        <v>3</v>
      </c>
      <c r="O498" t="s">
        <v>2047</v>
      </c>
      <c r="P498">
        <v>5</v>
      </c>
      <c r="Q498">
        <v>49</v>
      </c>
      <c r="R498" s="1">
        <v>45495</v>
      </c>
      <c r="S498" t="s">
        <v>1765</v>
      </c>
      <c r="T498">
        <f t="shared" si="77"/>
        <v>5</v>
      </c>
      <c r="U498">
        <f t="shared" si="78"/>
        <v>384.41999999999996</v>
      </c>
      <c r="V498">
        <f t="shared" si="79"/>
        <v>433.41999999999996</v>
      </c>
      <c r="W498">
        <f t="shared" si="80"/>
        <v>0.08</v>
      </c>
      <c r="X498">
        <f t="shared" si="81"/>
        <v>30.753599999999999</v>
      </c>
      <c r="Y498">
        <f t="shared" si="82"/>
        <v>402.66639999999995</v>
      </c>
      <c r="Z498" t="str">
        <f t="shared" si="83"/>
        <v>Katie Hicks</v>
      </c>
      <c r="AA498" s="1" t="str">
        <f t="shared" si="84"/>
        <v>In Time</v>
      </c>
      <c r="AB498" t="str">
        <f t="shared" si="85"/>
        <v>Jul</v>
      </c>
      <c r="AC498" s="9">
        <f t="shared" si="86"/>
        <v>2024</v>
      </c>
      <c r="AD498" t="str">
        <f t="shared" si="87"/>
        <v>rediffmail.com</v>
      </c>
    </row>
    <row r="499" spans="1:30" x14ac:dyDescent="0.3">
      <c r="A499" t="s">
        <v>93</v>
      </c>
      <c r="B499" t="s">
        <v>182</v>
      </c>
      <c r="C499" t="s">
        <v>269</v>
      </c>
      <c r="D499">
        <v>54</v>
      </c>
      <c r="E499" t="s">
        <v>289</v>
      </c>
      <c r="F499" t="s">
        <v>295</v>
      </c>
      <c r="G499" t="s">
        <v>374</v>
      </c>
      <c r="H499" t="s">
        <v>474</v>
      </c>
      <c r="I499" t="s">
        <v>959</v>
      </c>
      <c r="J499" s="1">
        <v>45381</v>
      </c>
      <c r="K499" t="s">
        <v>1458</v>
      </c>
      <c r="L499" t="s">
        <v>1511</v>
      </c>
      <c r="M499">
        <v>272.51</v>
      </c>
      <c r="N499">
        <v>5</v>
      </c>
      <c r="O499" t="s">
        <v>1547</v>
      </c>
      <c r="P499">
        <v>3</v>
      </c>
      <c r="Q499">
        <v>66</v>
      </c>
      <c r="R499" s="1">
        <v>45388</v>
      </c>
      <c r="S499" t="s">
        <v>2007</v>
      </c>
      <c r="T499">
        <f t="shared" si="77"/>
        <v>7</v>
      </c>
      <c r="U499">
        <f t="shared" si="78"/>
        <v>1362.55</v>
      </c>
      <c r="V499">
        <f t="shared" si="79"/>
        <v>1362.55</v>
      </c>
      <c r="W499">
        <f t="shared" si="80"/>
        <v>0</v>
      </c>
      <c r="X499">
        <f t="shared" si="81"/>
        <v>0</v>
      </c>
      <c r="Y499">
        <f t="shared" si="82"/>
        <v>1362.55</v>
      </c>
      <c r="Z499" t="str">
        <f t="shared" si="83"/>
        <v>Diana French</v>
      </c>
      <c r="AA499" s="1" t="str">
        <f t="shared" si="84"/>
        <v>Late</v>
      </c>
      <c r="AB499" t="str">
        <f t="shared" si="85"/>
        <v>Mar</v>
      </c>
      <c r="AC499" s="9">
        <f t="shared" si="86"/>
        <v>2024</v>
      </c>
      <c r="AD499" t="str">
        <f t="shared" si="87"/>
        <v>outlook.com</v>
      </c>
    </row>
    <row r="500" spans="1:30" x14ac:dyDescent="0.3">
      <c r="A500" t="s">
        <v>60</v>
      </c>
      <c r="B500" t="s">
        <v>157</v>
      </c>
      <c r="C500" t="s">
        <v>241</v>
      </c>
      <c r="D500">
        <v>52</v>
      </c>
      <c r="E500" t="s">
        <v>290</v>
      </c>
      <c r="F500" t="s">
        <v>298</v>
      </c>
      <c r="G500" t="s">
        <v>341</v>
      </c>
      <c r="H500" t="s">
        <v>441</v>
      </c>
      <c r="I500" t="s">
        <v>997</v>
      </c>
      <c r="J500" s="1">
        <v>45472</v>
      </c>
      <c r="K500" t="s">
        <v>1495</v>
      </c>
      <c r="L500" t="s">
        <v>1540</v>
      </c>
      <c r="M500">
        <v>424.82</v>
      </c>
      <c r="N500">
        <v>2</v>
      </c>
      <c r="O500" t="s">
        <v>1547</v>
      </c>
      <c r="P500">
        <v>6</v>
      </c>
      <c r="Q500">
        <v>63</v>
      </c>
      <c r="R500" s="1">
        <v>45477</v>
      </c>
      <c r="S500" t="s">
        <v>2045</v>
      </c>
      <c r="T500">
        <f t="shared" si="77"/>
        <v>5</v>
      </c>
      <c r="U500">
        <f t="shared" si="78"/>
        <v>849.64</v>
      </c>
      <c r="V500">
        <f t="shared" si="79"/>
        <v>849.64</v>
      </c>
      <c r="W500">
        <f t="shared" si="80"/>
        <v>0</v>
      </c>
      <c r="X500">
        <f t="shared" si="81"/>
        <v>0</v>
      </c>
      <c r="Y500">
        <f t="shared" si="82"/>
        <v>849.64</v>
      </c>
      <c r="Z500" t="str">
        <f t="shared" si="83"/>
        <v>Amanda Howard</v>
      </c>
      <c r="AA500" s="1" t="str">
        <f t="shared" si="84"/>
        <v>Before Time</v>
      </c>
      <c r="AB500" t="str">
        <f t="shared" si="85"/>
        <v>Jun</v>
      </c>
      <c r="AC500" s="9">
        <f t="shared" si="86"/>
        <v>2024</v>
      </c>
      <c r="AD500" t="str">
        <f t="shared" si="87"/>
        <v>outlook.com</v>
      </c>
    </row>
    <row r="501" spans="1:30" x14ac:dyDescent="0.3">
      <c r="A501" t="s">
        <v>41</v>
      </c>
      <c r="B501" t="s">
        <v>122</v>
      </c>
      <c r="C501" t="s">
        <v>222</v>
      </c>
      <c r="D501">
        <v>52</v>
      </c>
      <c r="E501" t="s">
        <v>290</v>
      </c>
      <c r="F501" t="s">
        <v>292</v>
      </c>
      <c r="G501" t="s">
        <v>322</v>
      </c>
      <c r="H501" t="s">
        <v>422</v>
      </c>
      <c r="I501" t="s">
        <v>998</v>
      </c>
      <c r="J501" s="1">
        <v>45501</v>
      </c>
      <c r="K501" t="s">
        <v>1496</v>
      </c>
      <c r="L501" t="s">
        <v>1500</v>
      </c>
      <c r="M501">
        <v>44.5</v>
      </c>
      <c r="N501">
        <v>4</v>
      </c>
      <c r="O501" t="s">
        <v>1547</v>
      </c>
      <c r="P501">
        <v>3</v>
      </c>
      <c r="Q501">
        <v>45</v>
      </c>
      <c r="R501" s="1">
        <v>45504</v>
      </c>
      <c r="S501" t="s">
        <v>2046</v>
      </c>
      <c r="T501">
        <f t="shared" si="77"/>
        <v>3</v>
      </c>
      <c r="U501">
        <f t="shared" si="78"/>
        <v>178</v>
      </c>
      <c r="V501">
        <f t="shared" si="79"/>
        <v>178</v>
      </c>
      <c r="W501">
        <f t="shared" si="80"/>
        <v>0</v>
      </c>
      <c r="X501">
        <f t="shared" si="81"/>
        <v>0</v>
      </c>
      <c r="Y501">
        <f t="shared" si="82"/>
        <v>178</v>
      </c>
      <c r="Z501" t="str">
        <f t="shared" si="83"/>
        <v>Angela Evans</v>
      </c>
      <c r="AA501" s="1" t="str">
        <f t="shared" si="84"/>
        <v>In Time</v>
      </c>
      <c r="AB501" t="str">
        <f t="shared" si="85"/>
        <v>Jul</v>
      </c>
      <c r="AC501" s="9">
        <f t="shared" si="86"/>
        <v>2024</v>
      </c>
      <c r="AD501" t="str">
        <f t="shared" si="87"/>
        <v>outlook.com</v>
      </c>
    </row>
  </sheetData>
  <autoFilter ref="A1:AD5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2024D-272C-451A-97EB-4A1BC209DD28}">
  <dimension ref="B2:N53"/>
  <sheetViews>
    <sheetView tabSelected="1" zoomScale="56" zoomScaleNormal="82" workbookViewId="0">
      <selection activeCell="P41" sqref="P41"/>
    </sheetView>
  </sheetViews>
  <sheetFormatPr defaultRowHeight="14.4" x14ac:dyDescent="0.3"/>
  <cols>
    <col min="14" max="14" width="12.88671875" customWidth="1"/>
  </cols>
  <sheetData>
    <row r="2" spans="2:10" x14ac:dyDescent="0.3">
      <c r="B2" s="27" t="s">
        <v>2080</v>
      </c>
      <c r="C2" s="27"/>
      <c r="D2" s="27"/>
      <c r="E2" s="27"/>
      <c r="F2" s="27"/>
      <c r="G2" s="27"/>
      <c r="H2" s="27"/>
      <c r="I2" s="27"/>
      <c r="J2" s="27"/>
    </row>
    <row r="3" spans="2:10" x14ac:dyDescent="0.3">
      <c r="B3" s="26" t="s">
        <v>2049</v>
      </c>
      <c r="C3" s="26"/>
      <c r="G3" s="26" t="s">
        <v>2052</v>
      </c>
      <c r="H3" s="26"/>
      <c r="I3" s="26"/>
    </row>
    <row r="4" spans="2:10" x14ac:dyDescent="0.3">
      <c r="B4" t="s">
        <v>2060</v>
      </c>
      <c r="G4" t="s">
        <v>2064</v>
      </c>
    </row>
    <row r="5" spans="2:10" x14ac:dyDescent="0.3">
      <c r="B5" t="s">
        <v>2061</v>
      </c>
      <c r="G5" t="s">
        <v>2065</v>
      </c>
    </row>
    <row r="6" spans="2:10" x14ac:dyDescent="0.3">
      <c r="B6" t="s">
        <v>2062</v>
      </c>
      <c r="G6" t="s">
        <v>2066</v>
      </c>
    </row>
    <row r="7" spans="2:10" x14ac:dyDescent="0.3">
      <c r="B7" t="s">
        <v>2063</v>
      </c>
    </row>
    <row r="10" spans="2:10" x14ac:dyDescent="0.3">
      <c r="B10" s="3" t="s">
        <v>2050</v>
      </c>
      <c r="C10" s="2"/>
    </row>
    <row r="11" spans="2:10" x14ac:dyDescent="0.3">
      <c r="B11" t="s">
        <v>2067</v>
      </c>
    </row>
    <row r="12" spans="2:10" x14ac:dyDescent="0.3">
      <c r="B12" t="s">
        <v>2068</v>
      </c>
    </row>
    <row r="13" spans="2:10" x14ac:dyDescent="0.3">
      <c r="B13" t="s">
        <v>2069</v>
      </c>
    </row>
    <row r="16" spans="2:10" x14ac:dyDescent="0.3">
      <c r="B16" s="3" t="s">
        <v>2051</v>
      </c>
    </row>
    <row r="17" spans="2:14" x14ac:dyDescent="0.3">
      <c r="B17" t="s">
        <v>2070</v>
      </c>
    </row>
    <row r="18" spans="2:14" x14ac:dyDescent="0.3">
      <c r="B18" t="s">
        <v>2072</v>
      </c>
    </row>
    <row r="19" spans="2:14" x14ac:dyDescent="0.3">
      <c r="B19" t="s">
        <v>2071</v>
      </c>
    </row>
    <row r="20" spans="2:14" x14ac:dyDescent="0.3">
      <c r="B20" t="s">
        <v>2073</v>
      </c>
    </row>
    <row r="22" spans="2:14" x14ac:dyDescent="0.3">
      <c r="B22" s="28" t="s">
        <v>2074</v>
      </c>
      <c r="C22" s="28"/>
      <c r="D22" s="28"/>
      <c r="E22" s="28"/>
      <c r="F22" s="28"/>
      <c r="G22" s="28"/>
      <c r="H22" s="28"/>
      <c r="I22" s="28"/>
      <c r="J22" s="28"/>
    </row>
    <row r="23" spans="2:14" x14ac:dyDescent="0.3">
      <c r="B23" s="7"/>
      <c r="C23" s="7"/>
      <c r="D23" s="7"/>
      <c r="E23" s="7"/>
      <c r="F23" s="7"/>
      <c r="G23" s="7"/>
      <c r="H23" s="7"/>
      <c r="I23" s="7"/>
      <c r="J23" s="7"/>
    </row>
    <row r="25" spans="2:14" x14ac:dyDescent="0.3">
      <c r="B25" s="27" t="s">
        <v>2075</v>
      </c>
      <c r="C25" s="27"/>
      <c r="D25" s="27"/>
      <c r="E25" s="27"/>
      <c r="F25" s="27"/>
      <c r="G25" s="27"/>
    </row>
    <row r="26" spans="2:14" x14ac:dyDescent="0.3">
      <c r="B26" s="6"/>
      <c r="C26" s="6"/>
      <c r="D26" s="6"/>
      <c r="E26" s="6"/>
      <c r="F26" s="6"/>
      <c r="G26" s="6"/>
    </row>
    <row r="28" spans="2:14" x14ac:dyDescent="0.3">
      <c r="B28" s="27" t="s">
        <v>2076</v>
      </c>
      <c r="C28" s="27"/>
      <c r="D28" s="27"/>
      <c r="E28" s="27"/>
      <c r="F28" s="27"/>
      <c r="G28" s="27"/>
      <c r="H28" s="27"/>
      <c r="I28" s="27"/>
      <c r="J28" s="27"/>
    </row>
    <row r="30" spans="2:14" x14ac:dyDescent="0.3">
      <c r="B30" s="27" t="s">
        <v>2077</v>
      </c>
      <c r="C30" s="27"/>
      <c r="D30" s="27"/>
      <c r="E30" s="27"/>
      <c r="F30" s="27"/>
      <c r="G30" s="27"/>
      <c r="H30" s="27"/>
      <c r="I30" s="27"/>
    </row>
    <row r="31" spans="2:14" x14ac:dyDescent="0.3">
      <c r="B31" s="27" t="s">
        <v>2059</v>
      </c>
      <c r="C31" s="27"/>
      <c r="D31" s="27"/>
      <c r="E31" s="27"/>
      <c r="F31" s="27"/>
      <c r="G31" s="27"/>
      <c r="H31" s="27"/>
      <c r="I31" s="27"/>
      <c r="J31" s="27"/>
      <c r="K31" s="27"/>
      <c r="L31" s="27"/>
      <c r="M31" s="27"/>
      <c r="N31" s="27"/>
    </row>
    <row r="33" spans="2:12" x14ac:dyDescent="0.3">
      <c r="B33" s="27" t="s">
        <v>2078</v>
      </c>
      <c r="C33" s="27"/>
      <c r="D33" s="27"/>
      <c r="E33" s="27"/>
      <c r="F33" s="27"/>
      <c r="G33" s="27"/>
      <c r="H33" s="27"/>
      <c r="I33" s="27"/>
    </row>
    <row r="35" spans="2:12" x14ac:dyDescent="0.3">
      <c r="B35" s="27" t="s">
        <v>2081</v>
      </c>
      <c r="C35" s="27"/>
      <c r="D35" s="27"/>
      <c r="E35" s="27"/>
      <c r="F35" s="27"/>
      <c r="G35" s="27"/>
      <c r="H35" s="27"/>
      <c r="I35" s="27"/>
      <c r="J35" s="27"/>
      <c r="K35" s="27"/>
      <c r="L35" s="27"/>
    </row>
    <row r="37" spans="2:12" ht="28.2" customHeight="1" x14ac:dyDescent="0.3">
      <c r="B37" s="29" t="s">
        <v>2079</v>
      </c>
      <c r="C37" s="29"/>
      <c r="D37" s="29"/>
      <c r="E37" s="29"/>
      <c r="F37" s="29"/>
      <c r="G37" s="29"/>
      <c r="H37" s="29"/>
      <c r="I37" s="29"/>
      <c r="J37" s="29"/>
      <c r="K37" s="29"/>
      <c r="L37" s="29"/>
    </row>
    <row r="40" spans="2:12" x14ac:dyDescent="0.3">
      <c r="B40" s="26" t="s">
        <v>2082</v>
      </c>
      <c r="C40" s="26"/>
      <c r="D40" s="26"/>
      <c r="E40" s="26"/>
      <c r="F40" s="26"/>
    </row>
    <row r="41" spans="2:12" x14ac:dyDescent="0.3">
      <c r="B41" t="s">
        <v>2053</v>
      </c>
    </row>
    <row r="42" spans="2:12" x14ac:dyDescent="0.3">
      <c r="B42" t="s">
        <v>2058</v>
      </c>
    </row>
    <row r="43" spans="2:12" x14ac:dyDescent="0.3">
      <c r="B43" t="s">
        <v>2054</v>
      </c>
    </row>
    <row r="44" spans="2:12" x14ac:dyDescent="0.3">
      <c r="B44" t="s">
        <v>2055</v>
      </c>
    </row>
    <row r="45" spans="2:12" x14ac:dyDescent="0.3">
      <c r="B45" t="s">
        <v>2056</v>
      </c>
    </row>
    <row r="46" spans="2:12" x14ac:dyDescent="0.3">
      <c r="B46" t="s">
        <v>2057</v>
      </c>
    </row>
    <row r="47" spans="2:12" x14ac:dyDescent="0.3">
      <c r="B47" t="s">
        <v>2083</v>
      </c>
    </row>
    <row r="48" spans="2:12" x14ac:dyDescent="0.3">
      <c r="B48" t="s">
        <v>2086</v>
      </c>
    </row>
    <row r="49" spans="2:2" x14ac:dyDescent="0.3">
      <c r="B49" t="s">
        <v>2084</v>
      </c>
    </row>
    <row r="50" spans="2:2" x14ac:dyDescent="0.3">
      <c r="B50" t="s">
        <v>2085</v>
      </c>
    </row>
    <row r="53" spans="2:2" x14ac:dyDescent="0.3">
      <c r="B53" s="5"/>
    </row>
  </sheetData>
  <mergeCells count="12">
    <mergeCell ref="B3:C3"/>
    <mergeCell ref="G3:I3"/>
    <mergeCell ref="B2:J2"/>
    <mergeCell ref="B22:J22"/>
    <mergeCell ref="B40:F40"/>
    <mergeCell ref="B37:L37"/>
    <mergeCell ref="B31:N31"/>
    <mergeCell ref="B25:G25"/>
    <mergeCell ref="B28:J28"/>
    <mergeCell ref="B30:I30"/>
    <mergeCell ref="B33:I33"/>
    <mergeCell ref="B35:L3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AC185-8F9D-4BBB-8098-6B05E6B022F6}">
  <dimension ref="A1:K30"/>
  <sheetViews>
    <sheetView zoomScale="52" workbookViewId="0">
      <selection activeCell="P4" sqref="P4"/>
    </sheetView>
  </sheetViews>
  <sheetFormatPr defaultRowHeight="14.4" x14ac:dyDescent="0.3"/>
  <cols>
    <col min="1" max="1" width="13.109375" bestFit="1" customWidth="1"/>
    <col min="2" max="2" width="14.77734375" bestFit="1" customWidth="1"/>
    <col min="7" max="7" width="13.109375" bestFit="1" customWidth="1"/>
    <col min="8" max="8" width="20" bestFit="1" customWidth="1"/>
    <col min="9" max="9" width="11.5546875" bestFit="1" customWidth="1"/>
  </cols>
  <sheetData>
    <row r="1" spans="1:10" ht="17.399999999999999" x14ac:dyDescent="0.45">
      <c r="A1" s="30" t="s">
        <v>2049</v>
      </c>
      <c r="B1" s="30"/>
      <c r="G1" s="17" t="s">
        <v>2052</v>
      </c>
      <c r="H1" s="17"/>
      <c r="I1" s="5"/>
    </row>
    <row r="2" spans="1:10" ht="15.6" x14ac:dyDescent="0.3">
      <c r="A2" s="31" t="s">
        <v>2098</v>
      </c>
      <c r="B2" s="31"/>
      <c r="C2" s="31"/>
      <c r="G2" s="15" t="s">
        <v>2064</v>
      </c>
      <c r="H2" s="15"/>
      <c r="I2" s="15"/>
    </row>
    <row r="3" spans="1:10" x14ac:dyDescent="0.3">
      <c r="A3" t="str">
        <f ca="1">_xlfn.FORMULATEXT(B3)</f>
        <v>=COUNTA(UNIQUE((data!A2:A501)))</v>
      </c>
      <c r="B3">
        <f>COUNTA(_xlfn.UNIQUE((data!A2:A501)))</f>
        <v>100</v>
      </c>
      <c r="G3" t="str">
        <f ca="1">_xlfn.FORMULATEXT(H3)</f>
        <v>=COUNTA(data!A2:A501)</v>
      </c>
      <c r="H3">
        <f>COUNTA(data!A2:A501)</f>
        <v>500</v>
      </c>
    </row>
    <row r="5" spans="1:10" ht="15.6" x14ac:dyDescent="0.3">
      <c r="A5" s="31" t="s">
        <v>2126</v>
      </c>
      <c r="B5" s="31"/>
      <c r="C5" s="31"/>
      <c r="G5" s="15" t="s">
        <v>2065</v>
      </c>
      <c r="H5" s="15"/>
      <c r="I5" s="15"/>
    </row>
    <row r="6" spans="1:10" x14ac:dyDescent="0.3">
      <c r="A6" s="10" t="s">
        <v>2099</v>
      </c>
      <c r="B6" t="s">
        <v>2102</v>
      </c>
      <c r="G6" t="str">
        <f ca="1">_xlfn.FORMULATEXT(H6)</f>
        <v>=AVERAGE(data!T2:T501)</v>
      </c>
      <c r="H6">
        <f>AVERAGE(data!T2:T501)</f>
        <v>4.0019999999999998</v>
      </c>
    </row>
    <row r="7" spans="1:10" x14ac:dyDescent="0.3">
      <c r="A7" s="11" t="s">
        <v>74</v>
      </c>
      <c r="B7" s="34">
        <v>11</v>
      </c>
    </row>
    <row r="8" spans="1:10" ht="15.6" x14ac:dyDescent="0.3">
      <c r="A8" s="11" t="s">
        <v>90</v>
      </c>
      <c r="B8" s="34">
        <v>11</v>
      </c>
      <c r="G8" s="15" t="s">
        <v>2066</v>
      </c>
      <c r="H8" s="15"/>
      <c r="I8" s="15"/>
      <c r="J8" s="15"/>
    </row>
    <row r="9" spans="1:10" x14ac:dyDescent="0.3">
      <c r="A9" s="11" t="s">
        <v>2100</v>
      </c>
      <c r="B9" s="34">
        <v>22</v>
      </c>
      <c r="G9" t="str">
        <f ca="1">_xlfn.FORMULATEXT(H9)</f>
        <v>=COUNTIF(data!O2:O501,"DEL0")</v>
      </c>
      <c r="H9">
        <f>COUNTIF(data!O2:O501,"DEL0")</f>
        <v>102</v>
      </c>
    </row>
    <row r="11" spans="1:10" ht="15.6" x14ac:dyDescent="0.3">
      <c r="A11" s="32" t="s">
        <v>2127</v>
      </c>
      <c r="B11" s="32"/>
      <c r="C11" s="32"/>
      <c r="D11" s="32"/>
    </row>
    <row r="12" spans="1:10" x14ac:dyDescent="0.3">
      <c r="A12" s="10" t="s">
        <v>2099</v>
      </c>
      <c r="B12" t="s">
        <v>2128</v>
      </c>
      <c r="G12" s="13" t="s">
        <v>2050</v>
      </c>
      <c r="H12" s="16"/>
    </row>
    <row r="13" spans="1:10" ht="15.6" x14ac:dyDescent="0.3">
      <c r="A13" s="11" t="s">
        <v>74</v>
      </c>
      <c r="B13" s="34">
        <v>14040.499999999996</v>
      </c>
      <c r="G13" s="15" t="s">
        <v>2067</v>
      </c>
    </row>
    <row r="14" spans="1:10" x14ac:dyDescent="0.3">
      <c r="A14" s="11" t="s">
        <v>2100</v>
      </c>
      <c r="B14" s="34">
        <v>14040.499999999996</v>
      </c>
      <c r="G14" t="str">
        <f ca="1">_xlfn.FORMULATEXT(H14)</f>
        <v>=COUNTA(UNIQUE(data!L2:L501))</v>
      </c>
      <c r="H14">
        <f>COUNTA(_xlfn.UNIQUE(data!L2:L501))</f>
        <v>50</v>
      </c>
    </row>
    <row r="16" spans="1:10" ht="15.6" x14ac:dyDescent="0.3">
      <c r="A16" s="32" t="s">
        <v>2129</v>
      </c>
      <c r="B16" s="32"/>
      <c r="G16" s="15" t="s">
        <v>2068</v>
      </c>
    </row>
    <row r="17" spans="1:11" x14ac:dyDescent="0.3">
      <c r="A17" t="str">
        <f ca="1">_xlfn.FORMULATEXT(B17)</f>
        <v>=AVERAGE(data!D2:D501)</v>
      </c>
      <c r="B17">
        <f>AVERAGE(data!D2:D501)</f>
        <v>42.124000000000002</v>
      </c>
      <c r="G17" s="10" t="s">
        <v>2099</v>
      </c>
      <c r="H17" t="s">
        <v>2102</v>
      </c>
    </row>
    <row r="18" spans="1:11" x14ac:dyDescent="0.3">
      <c r="G18" s="11" t="s">
        <v>1524</v>
      </c>
      <c r="H18" s="34">
        <v>17</v>
      </c>
    </row>
    <row r="19" spans="1:11" x14ac:dyDescent="0.3">
      <c r="A19" s="13" t="s">
        <v>2051</v>
      </c>
      <c r="G19" s="11" t="s">
        <v>2100</v>
      </c>
      <c r="H19" s="34">
        <v>17</v>
      </c>
    </row>
    <row r="20" spans="1:11" ht="15.6" x14ac:dyDescent="0.3">
      <c r="A20" s="14" t="s">
        <v>2070</v>
      </c>
      <c r="B20" s="14"/>
      <c r="C20" s="14"/>
    </row>
    <row r="21" spans="1:11" ht="15.6" x14ac:dyDescent="0.3">
      <c r="A21" t="str">
        <f ca="1">_xlfn.FORMULATEXT(B21)</f>
        <v>=SUM(data!U2:U501)</v>
      </c>
      <c r="B21">
        <f>SUM(data!U2:U501)</f>
        <v>364289.48999999982</v>
      </c>
      <c r="G21" s="15" t="s">
        <v>2069</v>
      </c>
      <c r="H21" s="15"/>
      <c r="I21" s="15"/>
      <c r="J21" s="15"/>
      <c r="K21" s="15"/>
    </row>
    <row r="22" spans="1:11" x14ac:dyDescent="0.3">
      <c r="G22" s="10" t="s">
        <v>2099</v>
      </c>
      <c r="H22" t="s">
        <v>2101</v>
      </c>
    </row>
    <row r="23" spans="1:11" ht="15.6" x14ac:dyDescent="0.3">
      <c r="A23" s="14" t="s">
        <v>2072</v>
      </c>
      <c r="B23" s="14"/>
      <c r="C23" s="14"/>
      <c r="G23" s="11" t="s">
        <v>1525</v>
      </c>
      <c r="H23" s="34">
        <v>18975.537199999999</v>
      </c>
    </row>
    <row r="24" spans="1:11" x14ac:dyDescent="0.3">
      <c r="A24" t="str">
        <f ca="1">_xlfn.FORMULATEXT(B24)</f>
        <v>=SUM(data!X2:X501)</v>
      </c>
      <c r="B24">
        <f>SUM(data!X2:X501)</f>
        <v>37963.730299999988</v>
      </c>
      <c r="G24" s="11" t="s">
        <v>2100</v>
      </c>
      <c r="H24" s="34">
        <v>18975.537199999999</v>
      </c>
    </row>
    <row r="26" spans="1:11" ht="15.6" x14ac:dyDescent="0.3">
      <c r="A26" s="14" t="s">
        <v>2071</v>
      </c>
      <c r="B26" s="14"/>
      <c r="C26" s="14"/>
    </row>
    <row r="27" spans="1:11" x14ac:dyDescent="0.3">
      <c r="A27" t="str">
        <f ca="1">_xlfn.FORMULATEXT(B27)</f>
        <v>=SUM(data!Y2:Y501)</v>
      </c>
      <c r="B27">
        <f>SUM(data!Y2:Y501)</f>
        <v>347189.75969999994</v>
      </c>
    </row>
    <row r="29" spans="1:11" ht="15.6" x14ac:dyDescent="0.3">
      <c r="A29" s="14" t="s">
        <v>2073</v>
      </c>
      <c r="B29" s="14"/>
      <c r="C29" s="14"/>
      <c r="D29" s="14"/>
    </row>
    <row r="30" spans="1:11" x14ac:dyDescent="0.3">
      <c r="A30" t="str">
        <f ca="1">_xlfn.FORMULATEXT(B30)</f>
        <v>=AVERAGE(data!U2:U501)</v>
      </c>
      <c r="B30">
        <f>AVERAGE(data!U2:U501)</f>
        <v>728.57897999999966</v>
      </c>
    </row>
  </sheetData>
  <mergeCells count="5">
    <mergeCell ref="A1:B1"/>
    <mergeCell ref="A2:C2"/>
    <mergeCell ref="A5:C5"/>
    <mergeCell ref="A11:D11"/>
    <mergeCell ref="A16:B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BB0B0-D083-48FD-B61E-058E32F39A77}">
  <dimension ref="A1:X46"/>
  <sheetViews>
    <sheetView zoomScale="48" zoomScaleNormal="106" workbookViewId="0">
      <selection activeCell="AI23" sqref="AI23"/>
    </sheetView>
  </sheetViews>
  <sheetFormatPr defaultRowHeight="14.4" x14ac:dyDescent="0.3"/>
  <cols>
    <col min="1" max="1" width="13.44140625" bestFit="1" customWidth="1"/>
    <col min="2" max="2" width="19.88671875" bestFit="1" customWidth="1"/>
    <col min="9" max="9" width="19.88671875" bestFit="1" customWidth="1"/>
    <col min="10" max="10" width="16.5546875" bestFit="1" customWidth="1"/>
    <col min="11" max="13" width="12" bestFit="1" customWidth="1"/>
    <col min="18" max="18" width="13.44140625" bestFit="1" customWidth="1"/>
    <col min="19" max="19" width="21.33203125" bestFit="1" customWidth="1"/>
    <col min="20" max="20" width="23.44140625" bestFit="1" customWidth="1"/>
    <col min="21" max="21" width="11.33203125" bestFit="1" customWidth="1"/>
    <col min="23" max="23" width="14.33203125" bestFit="1" customWidth="1"/>
    <col min="24" max="24" width="13.33203125" bestFit="1" customWidth="1"/>
    <col min="25" max="25" width="16.33203125" bestFit="1" customWidth="1"/>
    <col min="26" max="26" width="22.88671875" bestFit="1" customWidth="1"/>
  </cols>
  <sheetData>
    <row r="1" spans="1:24" x14ac:dyDescent="0.3">
      <c r="A1" s="33" t="s">
        <v>2082</v>
      </c>
      <c r="B1" s="33"/>
      <c r="C1" s="33"/>
      <c r="D1" s="33"/>
      <c r="E1" s="33"/>
    </row>
    <row r="2" spans="1:24" x14ac:dyDescent="0.3">
      <c r="A2" t="s">
        <v>2053</v>
      </c>
      <c r="I2" t="s">
        <v>2056</v>
      </c>
      <c r="R2" t="s">
        <v>2086</v>
      </c>
      <c r="W2" t="s">
        <v>2085</v>
      </c>
    </row>
    <row r="3" spans="1:24" x14ac:dyDescent="0.3">
      <c r="A3" s="10" t="s">
        <v>2099</v>
      </c>
      <c r="B3" t="s">
        <v>2101</v>
      </c>
      <c r="I3" s="10" t="s">
        <v>11</v>
      </c>
      <c r="J3" t="s">
        <v>2136</v>
      </c>
      <c r="K3" s="10" t="s">
        <v>11</v>
      </c>
      <c r="L3" t="s">
        <v>2135</v>
      </c>
      <c r="R3" s="10" t="s">
        <v>2099</v>
      </c>
      <c r="S3" t="s">
        <v>2119</v>
      </c>
    </row>
    <row r="4" spans="1:24" x14ac:dyDescent="0.3">
      <c r="A4" s="11" t="s">
        <v>74</v>
      </c>
      <c r="B4" s="34">
        <v>13121.118899999998</v>
      </c>
      <c r="I4" s="11" t="s">
        <v>1525</v>
      </c>
      <c r="J4" s="34">
        <v>18975.537199999999</v>
      </c>
      <c r="K4" s="11" t="s">
        <v>1519</v>
      </c>
      <c r="L4" s="34">
        <v>14616.772000000001</v>
      </c>
      <c r="R4" s="11" t="s">
        <v>2116</v>
      </c>
      <c r="S4" s="34">
        <v>213</v>
      </c>
      <c r="W4" s="10" t="s">
        <v>2099</v>
      </c>
      <c r="X4" t="s">
        <v>2125</v>
      </c>
    </row>
    <row r="5" spans="1:24" x14ac:dyDescent="0.3">
      <c r="A5" s="11" t="s">
        <v>63</v>
      </c>
      <c r="B5" s="34">
        <v>8428.0982999999997</v>
      </c>
      <c r="I5" s="11" t="s">
        <v>1503</v>
      </c>
      <c r="J5" s="34">
        <v>16540.572399999997</v>
      </c>
      <c r="K5" s="11" t="s">
        <v>1518</v>
      </c>
      <c r="L5" s="34">
        <v>15374.887699999999</v>
      </c>
      <c r="R5" s="11" t="s">
        <v>2117</v>
      </c>
      <c r="S5" s="34">
        <v>77</v>
      </c>
      <c r="W5" s="11" t="s">
        <v>2121</v>
      </c>
      <c r="X5" s="34">
        <v>112</v>
      </c>
    </row>
    <row r="6" spans="1:24" x14ac:dyDescent="0.3">
      <c r="A6" s="11" t="s">
        <v>90</v>
      </c>
      <c r="B6" s="34">
        <v>7999.8487000000005</v>
      </c>
      <c r="I6" s="11" t="s">
        <v>1534</v>
      </c>
      <c r="J6" s="34">
        <v>15918.949199999997</v>
      </c>
      <c r="K6" s="11" t="s">
        <v>1534</v>
      </c>
      <c r="L6" s="34">
        <v>15918.949199999997</v>
      </c>
      <c r="R6" s="11" t="s">
        <v>2118</v>
      </c>
      <c r="S6" s="34">
        <v>210</v>
      </c>
      <c r="W6" s="11" t="s">
        <v>2122</v>
      </c>
      <c r="X6" s="34">
        <v>132</v>
      </c>
    </row>
    <row r="7" spans="1:24" x14ac:dyDescent="0.3">
      <c r="A7" s="11" t="s">
        <v>61</v>
      </c>
      <c r="B7" s="34">
        <v>7509.2038000000002</v>
      </c>
      <c r="I7" s="11" t="s">
        <v>1518</v>
      </c>
      <c r="J7" s="34">
        <v>15374.887699999999</v>
      </c>
      <c r="K7" s="11" t="s">
        <v>1503</v>
      </c>
      <c r="L7" s="34">
        <v>16540.572399999997</v>
      </c>
      <c r="R7" s="11" t="s">
        <v>2100</v>
      </c>
      <c r="S7" s="34">
        <v>500</v>
      </c>
      <c r="W7" s="11" t="s">
        <v>2123</v>
      </c>
      <c r="X7" s="34">
        <v>118</v>
      </c>
    </row>
    <row r="8" spans="1:24" x14ac:dyDescent="0.3">
      <c r="A8" s="11" t="s">
        <v>43</v>
      </c>
      <c r="B8" s="34">
        <v>6873.9277999999986</v>
      </c>
      <c r="I8" s="11" t="s">
        <v>1519</v>
      </c>
      <c r="J8" s="34">
        <v>14616.772000000001</v>
      </c>
      <c r="K8" s="11" t="s">
        <v>1525</v>
      </c>
      <c r="L8" s="34">
        <v>18975.537199999999</v>
      </c>
      <c r="W8" s="11" t="s">
        <v>2124</v>
      </c>
      <c r="X8" s="34">
        <v>138</v>
      </c>
    </row>
    <row r="9" spans="1:24" x14ac:dyDescent="0.3">
      <c r="A9" s="11" t="s">
        <v>2100</v>
      </c>
      <c r="B9" s="34">
        <v>43932.197499999995</v>
      </c>
      <c r="I9" s="11" t="s">
        <v>2100</v>
      </c>
      <c r="J9" s="34">
        <v>81426.718499999988</v>
      </c>
      <c r="K9" s="11" t="s">
        <v>2100</v>
      </c>
      <c r="L9" s="34">
        <v>81426.718499999988</v>
      </c>
      <c r="W9" s="11" t="s">
        <v>2100</v>
      </c>
      <c r="X9" s="34">
        <v>500</v>
      </c>
    </row>
    <row r="11" spans="1:24" x14ac:dyDescent="0.3">
      <c r="A11" t="s">
        <v>2058</v>
      </c>
    </row>
    <row r="12" spans="1:24" x14ac:dyDescent="0.3">
      <c r="A12" s="10" t="s">
        <v>2099</v>
      </c>
      <c r="B12" t="s">
        <v>2134</v>
      </c>
    </row>
    <row r="13" spans="1:24" x14ac:dyDescent="0.3">
      <c r="A13" s="11" t="s">
        <v>1544</v>
      </c>
      <c r="B13" s="34">
        <v>51</v>
      </c>
    </row>
    <row r="14" spans="1:24" x14ac:dyDescent="0.3">
      <c r="A14" s="11" t="s">
        <v>1524</v>
      </c>
      <c r="B14" s="34">
        <v>48</v>
      </c>
    </row>
    <row r="15" spans="1:24" x14ac:dyDescent="0.3">
      <c r="A15" s="11" t="s">
        <v>1503</v>
      </c>
      <c r="B15" s="34">
        <v>48</v>
      </c>
    </row>
    <row r="16" spans="1:24" x14ac:dyDescent="0.3">
      <c r="A16" s="11" t="s">
        <v>1520</v>
      </c>
      <c r="B16" s="34">
        <v>44</v>
      </c>
      <c r="I16" t="s">
        <v>2057</v>
      </c>
      <c r="R16" t="s">
        <v>2084</v>
      </c>
    </row>
    <row r="17" spans="1:20" x14ac:dyDescent="0.3">
      <c r="A17" s="11" t="s">
        <v>1525</v>
      </c>
      <c r="B17" s="34">
        <v>42</v>
      </c>
      <c r="I17" s="10" t="s">
        <v>2099</v>
      </c>
      <c r="J17" t="s">
        <v>2103</v>
      </c>
      <c r="R17" s="10" t="s">
        <v>2099</v>
      </c>
      <c r="S17" t="s">
        <v>2101</v>
      </c>
      <c r="T17" t="s">
        <v>2120</v>
      </c>
    </row>
    <row r="18" spans="1:20" x14ac:dyDescent="0.3">
      <c r="A18" s="11" t="s">
        <v>2100</v>
      </c>
      <c r="B18" s="34">
        <v>233</v>
      </c>
      <c r="I18" s="11" t="s">
        <v>1547</v>
      </c>
      <c r="J18" s="34">
        <v>102</v>
      </c>
      <c r="R18" s="11" t="s">
        <v>2137</v>
      </c>
      <c r="S18" s="34"/>
      <c r="T18" s="34"/>
    </row>
    <row r="19" spans="1:20" x14ac:dyDescent="0.3">
      <c r="I19" s="11" t="s">
        <v>1549</v>
      </c>
      <c r="J19" s="34">
        <v>100</v>
      </c>
      <c r="R19" s="12" t="s">
        <v>2105</v>
      </c>
      <c r="S19" s="34">
        <v>8961.5453999999991</v>
      </c>
      <c r="T19" s="34">
        <v>1228.4846</v>
      </c>
    </row>
    <row r="20" spans="1:20" x14ac:dyDescent="0.3">
      <c r="I20" s="11" t="s">
        <v>1548</v>
      </c>
      <c r="J20" s="34">
        <v>83</v>
      </c>
      <c r="R20" s="12" t="s">
        <v>2106</v>
      </c>
      <c r="S20" s="34">
        <v>11944.3536</v>
      </c>
      <c r="T20" s="34">
        <v>1349.8364000000001</v>
      </c>
    </row>
    <row r="21" spans="1:20" x14ac:dyDescent="0.3">
      <c r="A21" t="s">
        <v>2054</v>
      </c>
      <c r="I21" s="11" t="s">
        <v>1550</v>
      </c>
      <c r="J21" s="34">
        <v>104</v>
      </c>
      <c r="R21" s="12" t="s">
        <v>2107</v>
      </c>
      <c r="S21" s="34">
        <v>14874.2255</v>
      </c>
      <c r="T21" s="34">
        <v>2099.6245000000004</v>
      </c>
    </row>
    <row r="22" spans="1:20" x14ac:dyDescent="0.3">
      <c r="A22" s="10" t="s">
        <v>2099</v>
      </c>
      <c r="B22" t="s">
        <v>2102</v>
      </c>
      <c r="I22" s="11" t="s">
        <v>2047</v>
      </c>
      <c r="J22" s="34">
        <v>111</v>
      </c>
      <c r="R22" s="12" t="s">
        <v>2108</v>
      </c>
      <c r="S22" s="34">
        <v>9597.7083999999977</v>
      </c>
      <c r="T22" s="34">
        <v>1092.9616000000001</v>
      </c>
    </row>
    <row r="23" spans="1:20" x14ac:dyDescent="0.3">
      <c r="A23" s="11" t="s">
        <v>292</v>
      </c>
      <c r="B23" s="34">
        <v>80</v>
      </c>
      <c r="D23" s="11" t="s">
        <v>292</v>
      </c>
      <c r="E23">
        <v>80</v>
      </c>
      <c r="I23" s="11" t="s">
        <v>2100</v>
      </c>
      <c r="J23" s="34">
        <v>500</v>
      </c>
      <c r="R23" s="12" t="s">
        <v>2109</v>
      </c>
      <c r="S23" s="34">
        <v>14390.601199999999</v>
      </c>
      <c r="T23" s="34">
        <v>1453.1388000000002</v>
      </c>
    </row>
    <row r="24" spans="1:20" x14ac:dyDescent="0.3">
      <c r="A24" s="11" t="s">
        <v>297</v>
      </c>
      <c r="B24" s="34">
        <v>72</v>
      </c>
      <c r="D24" s="11" t="s">
        <v>297</v>
      </c>
      <c r="E24">
        <v>72</v>
      </c>
      <c r="R24" s="12" t="s">
        <v>2110</v>
      </c>
      <c r="S24" s="34">
        <v>20925.915799999999</v>
      </c>
      <c r="T24" s="34">
        <v>2492.1741999999999</v>
      </c>
    </row>
    <row r="25" spans="1:20" x14ac:dyDescent="0.3">
      <c r="A25" s="11" t="s">
        <v>296</v>
      </c>
      <c r="B25" s="34">
        <v>72</v>
      </c>
      <c r="D25" s="11" t="s">
        <v>296</v>
      </c>
      <c r="E25">
        <v>72</v>
      </c>
      <c r="R25" s="12" t="s">
        <v>2111</v>
      </c>
      <c r="S25" s="34">
        <v>10232.4611</v>
      </c>
      <c r="T25" s="34">
        <v>1310.9689000000001</v>
      </c>
    </row>
    <row r="26" spans="1:20" x14ac:dyDescent="0.3">
      <c r="A26" s="11" t="s">
        <v>291</v>
      </c>
      <c r="B26" s="34">
        <v>66</v>
      </c>
      <c r="D26" s="11" t="s">
        <v>291</v>
      </c>
      <c r="E26">
        <v>66</v>
      </c>
      <c r="R26" s="12" t="s">
        <v>2112</v>
      </c>
      <c r="S26" s="34">
        <v>13665.489900000002</v>
      </c>
      <c r="T26" s="34">
        <v>1845.6800999999996</v>
      </c>
    </row>
    <row r="27" spans="1:20" x14ac:dyDescent="0.3">
      <c r="A27" s="11" t="s">
        <v>298</v>
      </c>
      <c r="B27" s="34">
        <v>64</v>
      </c>
      <c r="D27" s="11" t="s">
        <v>298</v>
      </c>
      <c r="E27">
        <v>64</v>
      </c>
      <c r="I27" t="s">
        <v>2083</v>
      </c>
      <c r="R27" s="12" t="s">
        <v>2113</v>
      </c>
      <c r="S27" s="34">
        <v>11586.179400000001</v>
      </c>
      <c r="T27" s="34">
        <v>1209.3605999999997</v>
      </c>
    </row>
    <row r="28" spans="1:20" x14ac:dyDescent="0.3">
      <c r="A28" s="11" t="s">
        <v>293</v>
      </c>
      <c r="B28" s="34">
        <v>51</v>
      </c>
      <c r="D28" s="11" t="s">
        <v>293</v>
      </c>
      <c r="E28">
        <v>51</v>
      </c>
      <c r="I28" s="10" t="s">
        <v>2101</v>
      </c>
      <c r="J28" s="10" t="s">
        <v>2140</v>
      </c>
      <c r="R28" s="12" t="s">
        <v>2114</v>
      </c>
      <c r="S28" s="34">
        <v>13751.000399999999</v>
      </c>
      <c r="T28" s="34">
        <v>1099.2896000000001</v>
      </c>
    </row>
    <row r="29" spans="1:20" x14ac:dyDescent="0.3">
      <c r="A29" s="11" t="s">
        <v>295</v>
      </c>
      <c r="B29" s="34">
        <v>51</v>
      </c>
      <c r="D29" s="11" t="s">
        <v>295</v>
      </c>
      <c r="E29">
        <v>51</v>
      </c>
      <c r="I29" s="10" t="s">
        <v>2099</v>
      </c>
      <c r="J29" t="s">
        <v>289</v>
      </c>
      <c r="K29" t="s">
        <v>288</v>
      </c>
      <c r="L29" t="s">
        <v>290</v>
      </c>
      <c r="M29" t="s">
        <v>2100</v>
      </c>
      <c r="R29" s="12" t="s">
        <v>2115</v>
      </c>
      <c r="S29" s="34">
        <v>11319.312599999999</v>
      </c>
      <c r="T29" s="34">
        <v>1478.9574</v>
      </c>
    </row>
    <row r="30" spans="1:20" x14ac:dyDescent="0.3">
      <c r="A30" s="11" t="s">
        <v>294</v>
      </c>
      <c r="B30" s="34">
        <v>44</v>
      </c>
      <c r="D30" s="11" t="s">
        <v>294</v>
      </c>
      <c r="E30">
        <v>44</v>
      </c>
      <c r="I30" s="11" t="s">
        <v>2104</v>
      </c>
      <c r="J30" s="34">
        <v>8063.8688000000002</v>
      </c>
      <c r="K30" s="34">
        <v>6486.0481</v>
      </c>
      <c r="L30" s="34">
        <v>16803.997199999998</v>
      </c>
      <c r="M30" s="34">
        <v>31353.914099999998</v>
      </c>
      <c r="R30" s="11" t="s">
        <v>2138</v>
      </c>
      <c r="S30" s="34"/>
      <c r="T30" s="34"/>
    </row>
    <row r="31" spans="1:20" x14ac:dyDescent="0.3">
      <c r="A31" s="11" t="s">
        <v>2100</v>
      </c>
      <c r="B31" s="34">
        <v>500</v>
      </c>
      <c r="I31" s="11" t="s">
        <v>2105</v>
      </c>
      <c r="J31" s="34">
        <v>9475.7083000000002</v>
      </c>
      <c r="K31" s="34">
        <v>8072.4719999999998</v>
      </c>
      <c r="L31" s="34">
        <v>7936.0841</v>
      </c>
      <c r="M31" s="34">
        <v>25484.2644</v>
      </c>
      <c r="R31" s="12" t="s">
        <v>2104</v>
      </c>
      <c r="S31" s="34">
        <v>11702.541099999999</v>
      </c>
      <c r="T31" s="34">
        <v>1524.0388999999998</v>
      </c>
    </row>
    <row r="32" spans="1:20" x14ac:dyDescent="0.3">
      <c r="I32" s="11" t="s">
        <v>2106</v>
      </c>
      <c r="J32" s="34">
        <v>11343.754599999997</v>
      </c>
      <c r="K32" s="34">
        <v>7788.3979999999992</v>
      </c>
      <c r="L32" s="34">
        <v>8099.7189000000008</v>
      </c>
      <c r="M32" s="34">
        <v>27231.871499999994</v>
      </c>
      <c r="R32" s="12" t="s">
        <v>2105</v>
      </c>
      <c r="S32" s="34">
        <v>15007.427000000001</v>
      </c>
      <c r="T32" s="34">
        <v>1305.0329999999999</v>
      </c>
    </row>
    <row r="33" spans="1:20" x14ac:dyDescent="0.3">
      <c r="I33" s="11" t="s">
        <v>2107</v>
      </c>
      <c r="J33" s="34">
        <v>16267.941699999999</v>
      </c>
      <c r="K33" s="34">
        <v>10276.5674</v>
      </c>
      <c r="L33" s="34">
        <v>12198.697300000002</v>
      </c>
      <c r="M33" s="34">
        <v>38743.206400000003</v>
      </c>
      <c r="R33" s="12" t="s">
        <v>2106</v>
      </c>
      <c r="S33" s="34">
        <v>15287.517899999999</v>
      </c>
      <c r="T33" s="34">
        <v>1535.3621000000005</v>
      </c>
    </row>
    <row r="34" spans="1:20" x14ac:dyDescent="0.3">
      <c r="A34" t="s">
        <v>2055</v>
      </c>
      <c r="I34" s="11" t="s">
        <v>2108</v>
      </c>
      <c r="J34" s="34">
        <v>3690.7950000000001</v>
      </c>
      <c r="K34" s="34">
        <v>8384.8597999999984</v>
      </c>
      <c r="L34" s="34">
        <v>10931.96</v>
      </c>
      <c r="M34" s="34">
        <v>23007.614799999996</v>
      </c>
      <c r="R34" s="12" t="s">
        <v>2107</v>
      </c>
      <c r="S34" s="34">
        <v>23868.980899999995</v>
      </c>
      <c r="T34" s="34">
        <v>2503.1090999999997</v>
      </c>
    </row>
    <row r="35" spans="1:20" x14ac:dyDescent="0.3">
      <c r="A35" s="10" t="s">
        <v>2099</v>
      </c>
      <c r="B35" t="s">
        <v>2101</v>
      </c>
      <c r="I35" s="11" t="s">
        <v>2109</v>
      </c>
      <c r="J35" s="34">
        <v>10273.452499999999</v>
      </c>
      <c r="K35" s="34">
        <v>10663.2526</v>
      </c>
      <c r="L35" s="34">
        <v>10819.353799999999</v>
      </c>
      <c r="M35" s="34">
        <v>31756.058899999996</v>
      </c>
      <c r="R35" s="12" t="s">
        <v>2108</v>
      </c>
      <c r="S35" s="34">
        <v>13409.906399999996</v>
      </c>
      <c r="T35" s="34">
        <v>1166.3236000000002</v>
      </c>
    </row>
    <row r="36" spans="1:20" x14ac:dyDescent="0.3">
      <c r="A36" s="11" t="s">
        <v>292</v>
      </c>
      <c r="B36" s="34">
        <v>60581.070399999982</v>
      </c>
      <c r="I36" s="11" t="s">
        <v>2110</v>
      </c>
      <c r="J36" s="34">
        <v>8533.2343999999994</v>
      </c>
      <c r="K36" s="34">
        <v>14733.1371</v>
      </c>
      <c r="L36" s="34">
        <v>15693.164699999999</v>
      </c>
      <c r="M36" s="34">
        <v>38959.536200000002</v>
      </c>
      <c r="R36" s="12" t="s">
        <v>2109</v>
      </c>
      <c r="S36" s="34">
        <v>17365.457699999995</v>
      </c>
      <c r="T36" s="34">
        <v>1926.8422999999998</v>
      </c>
    </row>
    <row r="37" spans="1:20" x14ac:dyDescent="0.3">
      <c r="A37" s="11" t="s">
        <v>297</v>
      </c>
      <c r="B37" s="34">
        <v>50133.830799999989</v>
      </c>
      <c r="I37" s="11" t="s">
        <v>2111</v>
      </c>
      <c r="J37" s="34">
        <v>10386.376700000003</v>
      </c>
      <c r="K37" s="34">
        <v>8246.3770999999997</v>
      </c>
      <c r="L37" s="34">
        <v>9313.512200000001</v>
      </c>
      <c r="M37" s="34">
        <v>27946.266000000003</v>
      </c>
      <c r="R37" s="12" t="s">
        <v>2110</v>
      </c>
      <c r="S37" s="34">
        <v>18033.6204</v>
      </c>
      <c r="T37" s="34">
        <v>1417.5396000000003</v>
      </c>
    </row>
    <row r="38" spans="1:20" x14ac:dyDescent="0.3">
      <c r="A38" s="11" t="s">
        <v>296</v>
      </c>
      <c r="B38" s="34">
        <v>48033.855899999995</v>
      </c>
      <c r="I38" s="11" t="s">
        <v>2112</v>
      </c>
      <c r="J38" s="34">
        <v>5519.7766999999994</v>
      </c>
      <c r="K38" s="34">
        <v>9926.2536999999993</v>
      </c>
      <c r="L38" s="34">
        <v>10640.056200000003</v>
      </c>
      <c r="M38" s="34">
        <v>26086.086600000002</v>
      </c>
      <c r="R38" s="12" t="s">
        <v>2111</v>
      </c>
      <c r="S38" s="34">
        <v>17713.804900000003</v>
      </c>
      <c r="T38" s="34">
        <v>2241.5050999999999</v>
      </c>
    </row>
    <row r="39" spans="1:20" x14ac:dyDescent="0.3">
      <c r="A39" s="11" t="s">
        <v>298</v>
      </c>
      <c r="B39" s="34">
        <v>46488.286999999989</v>
      </c>
      <c r="I39" s="11" t="s">
        <v>2113</v>
      </c>
      <c r="J39" s="34">
        <v>8184.0098999999991</v>
      </c>
      <c r="K39" s="34">
        <v>9616.4244999999992</v>
      </c>
      <c r="L39" s="34">
        <v>8559.6702000000005</v>
      </c>
      <c r="M39" s="34">
        <v>26360.104599999999</v>
      </c>
      <c r="R39" s="12" t="s">
        <v>2112</v>
      </c>
      <c r="S39" s="34">
        <v>12420.596700000002</v>
      </c>
      <c r="T39" s="34">
        <v>2203.4632999999999</v>
      </c>
    </row>
    <row r="40" spans="1:20" x14ac:dyDescent="0.3">
      <c r="A40" s="11" t="s">
        <v>291</v>
      </c>
      <c r="B40" s="34">
        <v>45879.245800000004</v>
      </c>
      <c r="I40" s="11" t="s">
        <v>2114</v>
      </c>
      <c r="J40" s="34">
        <v>4007.0176000000001</v>
      </c>
      <c r="K40" s="34">
        <v>5709.5600000000013</v>
      </c>
      <c r="L40" s="34">
        <v>17185.331600000005</v>
      </c>
      <c r="M40" s="34">
        <v>26901.909200000006</v>
      </c>
      <c r="R40" s="12" t="s">
        <v>2113</v>
      </c>
      <c r="S40" s="34">
        <v>14773.9252</v>
      </c>
      <c r="T40" s="34">
        <v>1822.4348</v>
      </c>
    </row>
    <row r="41" spans="1:20" x14ac:dyDescent="0.3">
      <c r="A41" s="11" t="s">
        <v>295</v>
      </c>
      <c r="B41" s="34">
        <v>40048.267499999994</v>
      </c>
      <c r="I41" s="11" t="s">
        <v>2115</v>
      </c>
      <c r="J41" s="34">
        <v>5244.5115999999998</v>
      </c>
      <c r="K41" s="34">
        <v>6323.9011</v>
      </c>
      <c r="L41" s="34">
        <v>14325.334299999997</v>
      </c>
      <c r="M41" s="34">
        <v>25893.746999999996</v>
      </c>
      <c r="R41" s="12" t="s">
        <v>2114</v>
      </c>
      <c r="S41" s="34">
        <v>13150.908800000003</v>
      </c>
      <c r="T41" s="34">
        <v>1289.2712000000001</v>
      </c>
    </row>
    <row r="42" spans="1:20" x14ac:dyDescent="0.3">
      <c r="A42" s="11" t="s">
        <v>293</v>
      </c>
      <c r="B42" s="34">
        <v>33544.926999999996</v>
      </c>
      <c r="I42" s="11" t="s">
        <v>2100</v>
      </c>
      <c r="J42" s="34">
        <v>100990.44780000001</v>
      </c>
      <c r="K42" s="34">
        <v>106227.25139999999</v>
      </c>
      <c r="L42" s="34">
        <v>142506.8805</v>
      </c>
      <c r="M42" s="34">
        <v>349724.5797</v>
      </c>
      <c r="R42" s="12" t="s">
        <v>2115</v>
      </c>
      <c r="S42" s="34">
        <v>14574.4344</v>
      </c>
      <c r="T42" s="34">
        <v>1712.6556</v>
      </c>
    </row>
    <row r="43" spans="1:20" x14ac:dyDescent="0.3">
      <c r="A43" s="11" t="s">
        <v>294</v>
      </c>
      <c r="B43" s="34">
        <v>25015.095299999997</v>
      </c>
      <c r="R43" s="11" t="s">
        <v>2139</v>
      </c>
      <c r="S43" s="34"/>
      <c r="T43" s="34"/>
    </row>
    <row r="44" spans="1:20" x14ac:dyDescent="0.3">
      <c r="A44" s="11" t="s">
        <v>2100</v>
      </c>
      <c r="B44" s="34">
        <v>349724.57969999989</v>
      </c>
      <c r="R44" s="12" t="s">
        <v>2104</v>
      </c>
      <c r="S44" s="34">
        <v>19651.373</v>
      </c>
      <c r="T44" s="34">
        <v>3057.1069999999995</v>
      </c>
    </row>
    <row r="45" spans="1:20" x14ac:dyDescent="0.3">
      <c r="R45" s="12" t="s">
        <v>2105</v>
      </c>
      <c r="S45" s="34">
        <v>1515.2920000000001</v>
      </c>
      <c r="T45" s="34">
        <v>322.74800000000005</v>
      </c>
    </row>
    <row r="46" spans="1:20" x14ac:dyDescent="0.3">
      <c r="R46" s="11" t="s">
        <v>2100</v>
      </c>
      <c r="S46" s="34">
        <v>349724.5797</v>
      </c>
      <c r="T46" s="34">
        <v>40687.910299999996</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F02A6-A0D7-4B11-8A94-E961AF58D8A7}">
  <dimension ref="E2:Z6"/>
  <sheetViews>
    <sheetView showGridLines="0" zoomScale="43" zoomScaleNormal="59" workbookViewId="0">
      <selection activeCell="Z9" sqref="Z9"/>
    </sheetView>
  </sheetViews>
  <sheetFormatPr defaultRowHeight="14.4" x14ac:dyDescent="0.3"/>
  <cols>
    <col min="1" max="16384" width="8.88671875" style="19"/>
  </cols>
  <sheetData>
    <row r="2" spans="5:26" ht="14.4" customHeight="1" x14ac:dyDescent="0.3">
      <c r="E2" s="20" t="s">
        <v>2141</v>
      </c>
      <c r="F2" s="20"/>
      <c r="G2" s="20"/>
      <c r="H2" s="18"/>
      <c r="I2" s="20" t="s">
        <v>2130</v>
      </c>
      <c r="J2" s="20"/>
      <c r="K2" s="20"/>
      <c r="M2" s="21" t="s">
        <v>2131</v>
      </c>
      <c r="N2" s="21"/>
      <c r="O2" s="21"/>
      <c r="Q2" s="20" t="s">
        <v>2132</v>
      </c>
      <c r="R2" s="20"/>
      <c r="S2" s="20"/>
      <c r="T2" s="20"/>
      <c r="V2" s="21" t="s">
        <v>2133</v>
      </c>
      <c r="W2" s="21"/>
      <c r="X2" s="21"/>
      <c r="Y2" s="21"/>
      <c r="Z2" s="21"/>
    </row>
    <row r="3" spans="5:26" ht="14.4" customHeight="1" x14ac:dyDescent="0.3">
      <c r="E3" s="20"/>
      <c r="F3" s="20"/>
      <c r="G3" s="20"/>
      <c r="H3" s="18"/>
      <c r="I3" s="20"/>
      <c r="J3" s="20"/>
      <c r="K3" s="20"/>
      <c r="M3" s="21"/>
      <c r="N3" s="21"/>
      <c r="O3" s="21"/>
      <c r="Q3" s="20"/>
      <c r="R3" s="20"/>
      <c r="S3" s="20"/>
      <c r="T3" s="20"/>
      <c r="V3" s="21"/>
      <c r="W3" s="21"/>
      <c r="X3" s="21"/>
      <c r="Y3" s="21"/>
      <c r="Z3" s="21"/>
    </row>
    <row r="4" spans="5:26" ht="14.4" customHeight="1" x14ac:dyDescent="0.3">
      <c r="E4" s="20"/>
      <c r="F4" s="20"/>
      <c r="G4" s="20"/>
      <c r="H4" s="18"/>
      <c r="I4" s="20"/>
      <c r="J4" s="20"/>
      <c r="K4" s="20"/>
      <c r="M4" s="21"/>
      <c r="N4" s="21"/>
      <c r="O4" s="21"/>
      <c r="Q4" s="20"/>
      <c r="R4" s="20"/>
      <c r="S4" s="20"/>
      <c r="T4" s="20"/>
      <c r="V4" s="21"/>
      <c r="W4" s="21"/>
      <c r="X4" s="21"/>
      <c r="Y4" s="21"/>
      <c r="Z4" s="21"/>
    </row>
    <row r="5" spans="5:26" ht="14.4" customHeight="1" x14ac:dyDescent="0.3">
      <c r="E5" s="20"/>
      <c r="F5" s="20"/>
      <c r="G5" s="20"/>
      <c r="H5" s="18"/>
      <c r="I5" s="20"/>
      <c r="J5" s="20"/>
      <c r="K5" s="20"/>
      <c r="M5" s="21"/>
      <c r="N5" s="21"/>
      <c r="O5" s="21"/>
      <c r="Q5" s="20"/>
      <c r="R5" s="20"/>
      <c r="S5" s="20"/>
      <c r="T5" s="20"/>
      <c r="V5" s="21"/>
      <c r="W5" s="21"/>
      <c r="X5" s="21"/>
      <c r="Y5" s="21"/>
      <c r="Z5" s="21"/>
    </row>
    <row r="6" spans="5:26" ht="25.2" x14ac:dyDescent="0.6">
      <c r="E6" s="22">
        <f>KPISANSWER!B21</f>
        <v>364289.48999999982</v>
      </c>
      <c r="F6" s="22"/>
      <c r="G6" s="22"/>
      <c r="I6" s="23">
        <f>KPISANSWER!H6</f>
        <v>4.0019999999999998</v>
      </c>
      <c r="J6" s="23"/>
      <c r="K6" s="23"/>
      <c r="M6" s="24">
        <f>KPISANSWER!H18</f>
        <v>17</v>
      </c>
      <c r="N6" s="24"/>
      <c r="O6" s="24"/>
      <c r="Q6" s="23">
        <f>KPISANSWER!B17</f>
        <v>42.124000000000002</v>
      </c>
      <c r="R6" s="23"/>
      <c r="S6" s="23"/>
      <c r="T6" s="23"/>
      <c r="V6" s="25">
        <f>KPISANSWER!B24</f>
        <v>37963.730299999988</v>
      </c>
      <c r="W6" s="25"/>
      <c r="X6" s="25"/>
      <c r="Y6" s="25"/>
      <c r="Z6" s="25"/>
    </row>
  </sheetData>
  <mergeCells count="10">
    <mergeCell ref="E6:G6"/>
    <mergeCell ref="I6:K6"/>
    <mergeCell ref="M6:O6"/>
    <mergeCell ref="Q6:T6"/>
    <mergeCell ref="V6:Z6"/>
    <mergeCell ref="Q2:T5"/>
    <mergeCell ref="V2:Z5"/>
    <mergeCell ref="I2:K5"/>
    <mergeCell ref="E2:G5"/>
    <mergeCell ref="M2: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Project_Questions</vt:lpstr>
      <vt:lpstr>KPISANSWER</vt:lpstr>
      <vt:lpstr>VISUAL QUES ANSWER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Anushi Mishra</cp:lastModifiedBy>
  <dcterms:created xsi:type="dcterms:W3CDTF">2025-02-08T05:14:48Z</dcterms:created>
  <dcterms:modified xsi:type="dcterms:W3CDTF">2026-07-01T16:08:56Z</dcterms:modified>
</cp:coreProperties>
</file>